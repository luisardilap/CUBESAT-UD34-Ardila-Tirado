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rdil\Downloads\"/>
    </mc:Choice>
  </mc:AlternateContent>
  <xr:revisionPtr revIDLastSave="0" documentId="13_ncr:1_{AFCB10A5-D586-4E4F-8ECB-2725C85E48E4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Leyenda" sheetId="1" r:id="rId1"/>
    <sheet name="Calculos" sheetId="2" r:id="rId2"/>
    <sheet name="Restricciones" sheetId="3" r:id="rId3"/>
    <sheet name="Costo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4" i="4" l="1"/>
  <c r="C73" i="4"/>
  <c r="C72" i="4"/>
  <c r="C71" i="4"/>
  <c r="C70" i="4"/>
  <c r="C69" i="4"/>
  <c r="B65" i="4"/>
  <c r="B64" i="4"/>
  <c r="B63" i="4"/>
  <c r="I58" i="4"/>
  <c r="C75" i="4" s="1"/>
  <c r="E58" i="4"/>
  <c r="P56" i="4"/>
  <c r="M56" i="4"/>
  <c r="J56" i="4"/>
  <c r="I56" i="4"/>
  <c r="P55" i="4"/>
  <c r="M55" i="4"/>
  <c r="J55" i="4"/>
  <c r="I55" i="4"/>
  <c r="P54" i="4"/>
  <c r="M54" i="4"/>
  <c r="J54" i="4"/>
  <c r="I54" i="4"/>
  <c r="P53" i="4"/>
  <c r="M53" i="4"/>
  <c r="J53" i="4"/>
  <c r="I53" i="4"/>
  <c r="P52" i="4"/>
  <c r="M52" i="4"/>
  <c r="J52" i="4"/>
  <c r="I52" i="4"/>
  <c r="P51" i="4"/>
  <c r="N51" i="4"/>
  <c r="O51" i="4" s="1"/>
  <c r="M51" i="4"/>
  <c r="J51" i="4"/>
  <c r="I51" i="4"/>
  <c r="P50" i="4"/>
  <c r="M50" i="4"/>
  <c r="J50" i="4"/>
  <c r="I50" i="4"/>
  <c r="P49" i="4"/>
  <c r="M49" i="4"/>
  <c r="J49" i="4"/>
  <c r="I49" i="4"/>
  <c r="Q48" i="4"/>
  <c r="R48" i="4" s="1"/>
  <c r="P48" i="4"/>
  <c r="M48" i="4"/>
  <c r="J48" i="4"/>
  <c r="I48" i="4"/>
  <c r="P47" i="4"/>
  <c r="M47" i="4"/>
  <c r="J47" i="4"/>
  <c r="I47" i="4"/>
  <c r="P46" i="4"/>
  <c r="M46" i="4"/>
  <c r="J46" i="4"/>
  <c r="I46" i="4"/>
  <c r="P45" i="4"/>
  <c r="M45" i="4"/>
  <c r="J45" i="4"/>
  <c r="I45" i="4"/>
  <c r="P44" i="4"/>
  <c r="M44" i="4"/>
  <c r="J44" i="4"/>
  <c r="I44" i="4"/>
  <c r="P43" i="4"/>
  <c r="M43" i="4"/>
  <c r="J43" i="4"/>
  <c r="I43" i="4"/>
  <c r="P42" i="4"/>
  <c r="M42" i="4"/>
  <c r="J42" i="4"/>
  <c r="I42" i="4"/>
  <c r="P41" i="4"/>
  <c r="M41" i="4"/>
  <c r="J41" i="4"/>
  <c r="I41" i="4"/>
  <c r="P40" i="4"/>
  <c r="M40" i="4"/>
  <c r="J40" i="4"/>
  <c r="I40" i="4"/>
  <c r="P39" i="4"/>
  <c r="M39" i="4"/>
  <c r="J39" i="4"/>
  <c r="I39" i="4"/>
  <c r="P38" i="4"/>
  <c r="M38" i="4"/>
  <c r="J38" i="4"/>
  <c r="I38" i="4"/>
  <c r="P37" i="4"/>
  <c r="M37" i="4"/>
  <c r="J37" i="4"/>
  <c r="I37" i="4"/>
  <c r="P36" i="4"/>
  <c r="M36" i="4"/>
  <c r="K36" i="4"/>
  <c r="J36" i="4"/>
  <c r="L36" i="4" s="1"/>
  <c r="I36" i="4"/>
  <c r="P35" i="4"/>
  <c r="M35" i="4"/>
  <c r="J35" i="4"/>
  <c r="I35" i="4"/>
  <c r="P34" i="4"/>
  <c r="M34" i="4"/>
  <c r="J34" i="4"/>
  <c r="I34" i="4"/>
  <c r="P33" i="4"/>
  <c r="M33" i="4"/>
  <c r="J33" i="4"/>
  <c r="I33" i="4"/>
  <c r="P32" i="4"/>
  <c r="M32" i="4"/>
  <c r="J32" i="4"/>
  <c r="I32" i="4"/>
  <c r="P31" i="4"/>
  <c r="M31" i="4"/>
  <c r="J31" i="4"/>
  <c r="I31" i="4"/>
  <c r="P30" i="4"/>
  <c r="M30" i="4"/>
  <c r="J30" i="4"/>
  <c r="I30" i="4"/>
  <c r="P29" i="4"/>
  <c r="M29" i="4"/>
  <c r="J29" i="4"/>
  <c r="I29" i="4"/>
  <c r="P28" i="4"/>
  <c r="M28" i="4"/>
  <c r="J28" i="4"/>
  <c r="I28" i="4"/>
  <c r="P27" i="4"/>
  <c r="M27" i="4"/>
  <c r="J27" i="4"/>
  <c r="I27" i="4"/>
  <c r="P26" i="4"/>
  <c r="M26" i="4"/>
  <c r="J26" i="4"/>
  <c r="I26" i="4"/>
  <c r="P25" i="4"/>
  <c r="M25" i="4"/>
  <c r="J25" i="4"/>
  <c r="I25" i="4"/>
  <c r="P24" i="4"/>
  <c r="M24" i="4"/>
  <c r="J24" i="4"/>
  <c r="I24" i="4"/>
  <c r="P23" i="4"/>
  <c r="M23" i="4"/>
  <c r="J23" i="4"/>
  <c r="I23" i="4"/>
  <c r="P22" i="4"/>
  <c r="M22" i="4"/>
  <c r="J22" i="4"/>
  <c r="I22" i="4"/>
  <c r="P21" i="4"/>
  <c r="M21" i="4"/>
  <c r="J21" i="4"/>
  <c r="I21" i="4"/>
  <c r="P20" i="4"/>
  <c r="M20" i="4"/>
  <c r="J20" i="4"/>
  <c r="I20" i="4"/>
  <c r="P19" i="4"/>
  <c r="M19" i="4"/>
  <c r="J19" i="4"/>
  <c r="I19" i="4"/>
  <c r="C19" i="3"/>
  <c r="C67" i="2"/>
  <c r="C66" i="2"/>
  <c r="C58" i="2"/>
  <c r="C54" i="2"/>
  <c r="C55" i="2" s="1"/>
  <c r="C57" i="2" s="1"/>
  <c r="C36" i="2"/>
  <c r="C31" i="2"/>
  <c r="C22" i="2"/>
  <c r="C20" i="2"/>
  <c r="C24" i="2" s="1"/>
  <c r="C12" i="2"/>
  <c r="C10" i="2"/>
  <c r="C13" i="2" s="1"/>
  <c r="C9" i="2"/>
  <c r="Q56" i="4" l="1"/>
  <c r="R56" i="4" s="1"/>
  <c r="N56" i="4"/>
  <c r="O56" i="4" s="1"/>
  <c r="K56" i="4"/>
  <c r="L56" i="4" s="1"/>
  <c r="Q55" i="4"/>
  <c r="R55" i="4" s="1"/>
  <c r="N55" i="4"/>
  <c r="O55" i="4" s="1"/>
  <c r="K55" i="4"/>
  <c r="L55" i="4" s="1"/>
  <c r="R54" i="4"/>
  <c r="Q54" i="4"/>
  <c r="N54" i="4"/>
  <c r="O54" i="4" s="1"/>
  <c r="K54" i="4"/>
  <c r="L54" i="4" s="1"/>
  <c r="Q53" i="4"/>
  <c r="R53" i="4"/>
  <c r="N53" i="4"/>
  <c r="O53" i="4" s="1"/>
  <c r="K53" i="4"/>
  <c r="L53" i="4" s="1"/>
  <c r="Q52" i="4"/>
  <c r="R52" i="4"/>
  <c r="N52" i="4"/>
  <c r="O52" i="4" s="1"/>
  <c r="K52" i="4"/>
  <c r="L52" i="4" s="1"/>
  <c r="Q51" i="4"/>
  <c r="R51" i="4" s="1"/>
  <c r="K51" i="4"/>
  <c r="L51" i="4" s="1"/>
  <c r="Q50" i="4"/>
  <c r="R50" i="4"/>
  <c r="N50" i="4"/>
  <c r="O50" i="4" s="1"/>
  <c r="K50" i="4"/>
  <c r="L50" i="4"/>
  <c r="Q49" i="4"/>
  <c r="R49" i="4"/>
  <c r="N49" i="4"/>
  <c r="O49" i="4"/>
  <c r="K49" i="4"/>
  <c r="L49" i="4" s="1"/>
  <c r="N48" i="4"/>
  <c r="O48" i="4"/>
  <c r="K48" i="4"/>
  <c r="L48" i="4" s="1"/>
  <c r="Q47" i="4"/>
  <c r="R47" i="4"/>
  <c r="N47" i="4"/>
  <c r="O47" i="4" s="1"/>
  <c r="K47" i="4"/>
  <c r="L47" i="4"/>
  <c r="Q46" i="4"/>
  <c r="R46" i="4"/>
  <c r="N46" i="4"/>
  <c r="O46" i="4" s="1"/>
  <c r="K46" i="4"/>
  <c r="L46" i="4" s="1"/>
  <c r="Q45" i="4"/>
  <c r="R45" i="4" s="1"/>
  <c r="N45" i="4"/>
  <c r="O45" i="4"/>
  <c r="K45" i="4"/>
  <c r="L45" i="4"/>
  <c r="Q44" i="4"/>
  <c r="R44" i="4"/>
  <c r="N44" i="4"/>
  <c r="O44" i="4"/>
  <c r="K44" i="4"/>
  <c r="L44" i="4"/>
  <c r="Q43" i="4"/>
  <c r="R43" i="4" s="1"/>
  <c r="N43" i="4"/>
  <c r="O43" i="4" s="1"/>
  <c r="K43" i="4"/>
  <c r="L43" i="4" s="1"/>
  <c r="Q42" i="4"/>
  <c r="R42" i="4" s="1"/>
  <c r="N42" i="4"/>
  <c r="O42" i="4" s="1"/>
  <c r="K42" i="4"/>
  <c r="L42" i="4"/>
  <c r="Q41" i="4"/>
  <c r="R41" i="4" s="1"/>
  <c r="N41" i="4"/>
  <c r="O41" i="4" s="1"/>
  <c r="K41" i="4"/>
  <c r="L41" i="4" s="1"/>
  <c r="Q40" i="4"/>
  <c r="R40" i="4" s="1"/>
  <c r="N40" i="4"/>
  <c r="O40" i="4"/>
  <c r="K40" i="4"/>
  <c r="L40" i="4" s="1"/>
  <c r="Q39" i="4"/>
  <c r="R39" i="4" s="1"/>
  <c r="N39" i="4"/>
  <c r="O39" i="4" s="1"/>
  <c r="K39" i="4"/>
  <c r="L39" i="4" s="1"/>
  <c r="Q38" i="4"/>
  <c r="R38" i="4" s="1"/>
  <c r="N38" i="4"/>
  <c r="O38" i="4" s="1"/>
  <c r="K38" i="4"/>
  <c r="L38" i="4" s="1"/>
  <c r="Q37" i="4"/>
  <c r="R37" i="4" s="1"/>
  <c r="N37" i="4"/>
  <c r="O37" i="4" s="1"/>
  <c r="K37" i="4"/>
  <c r="L37" i="4"/>
  <c r="R36" i="4"/>
  <c r="Q36" i="4"/>
  <c r="N36" i="4"/>
  <c r="O36" i="4" s="1"/>
  <c r="Q35" i="4"/>
  <c r="R35" i="4" s="1"/>
  <c r="N35" i="4"/>
  <c r="O35" i="4" s="1"/>
  <c r="K35" i="4"/>
  <c r="L35" i="4" s="1"/>
  <c r="Q34" i="4"/>
  <c r="R34" i="4" s="1"/>
  <c r="N34" i="4"/>
  <c r="O34" i="4" s="1"/>
  <c r="K34" i="4"/>
  <c r="L34" i="4" s="1"/>
  <c r="Q33" i="4"/>
  <c r="R33" i="4" s="1"/>
  <c r="N33" i="4"/>
  <c r="O33" i="4" s="1"/>
  <c r="K33" i="4"/>
  <c r="L33" i="4" s="1"/>
  <c r="Q32" i="4"/>
  <c r="R32" i="4" s="1"/>
  <c r="N32" i="4"/>
  <c r="O32" i="4" s="1"/>
  <c r="K32" i="4"/>
  <c r="L32" i="4" s="1"/>
  <c r="Q31" i="4"/>
  <c r="R31" i="4" s="1"/>
  <c r="N31" i="4"/>
  <c r="O31" i="4" s="1"/>
  <c r="K31" i="4"/>
  <c r="L31" i="4" s="1"/>
  <c r="Q30" i="4"/>
  <c r="R30" i="4" s="1"/>
  <c r="N30" i="4"/>
  <c r="O30" i="4" s="1"/>
  <c r="K30" i="4"/>
  <c r="L30" i="4" s="1"/>
  <c r="Q29" i="4"/>
  <c r="R29" i="4" s="1"/>
  <c r="N29" i="4"/>
  <c r="O29" i="4" s="1"/>
  <c r="K29" i="4"/>
  <c r="L29" i="4" s="1"/>
  <c r="Q28" i="4"/>
  <c r="R28" i="4" s="1"/>
  <c r="N28" i="4"/>
  <c r="O28" i="4" s="1"/>
  <c r="K28" i="4"/>
  <c r="L28" i="4" s="1"/>
  <c r="Q27" i="4"/>
  <c r="R27" i="4" s="1"/>
  <c r="N27" i="4"/>
  <c r="O27" i="4" s="1"/>
  <c r="K27" i="4"/>
  <c r="L27" i="4" s="1"/>
  <c r="Q26" i="4"/>
  <c r="R26" i="4" s="1"/>
  <c r="N26" i="4"/>
  <c r="O26" i="4" s="1"/>
  <c r="K26" i="4"/>
  <c r="L26" i="4" s="1"/>
  <c r="Q25" i="4"/>
  <c r="R25" i="4" s="1"/>
  <c r="N25" i="4"/>
  <c r="O25" i="4" s="1"/>
  <c r="K25" i="4"/>
  <c r="L25" i="4" s="1"/>
  <c r="Q24" i="4"/>
  <c r="R24" i="4" s="1"/>
  <c r="N24" i="4"/>
  <c r="O24" i="4" s="1"/>
  <c r="K24" i="4"/>
  <c r="L24" i="4" s="1"/>
  <c r="Q23" i="4"/>
  <c r="R23" i="4" s="1"/>
  <c r="N23" i="4"/>
  <c r="O23" i="4" s="1"/>
  <c r="K23" i="4"/>
  <c r="L23" i="4" s="1"/>
  <c r="Q22" i="4"/>
  <c r="R22" i="4" s="1"/>
  <c r="N22" i="4"/>
  <c r="O22" i="4" s="1"/>
  <c r="K22" i="4"/>
  <c r="L22" i="4" s="1"/>
  <c r="Q21" i="4"/>
  <c r="R21" i="4" s="1"/>
  <c r="N21" i="4"/>
  <c r="O21" i="4" s="1"/>
  <c r="K21" i="4"/>
  <c r="L21" i="4" s="1"/>
  <c r="Q20" i="4"/>
  <c r="R20" i="4" s="1"/>
  <c r="N20" i="4"/>
  <c r="O20" i="4" s="1"/>
  <c r="K20" i="4"/>
  <c r="L20" i="4" s="1"/>
  <c r="Q19" i="4"/>
  <c r="R19" i="4" s="1"/>
  <c r="R58" i="4" s="1"/>
  <c r="C65" i="4" s="1"/>
  <c r="D65" i="4" s="1"/>
  <c r="E65" i="4" s="1"/>
  <c r="N19" i="4"/>
  <c r="O19" i="4" s="1"/>
  <c r="O58" i="4" s="1"/>
  <c r="C64" i="4" s="1"/>
  <c r="D64" i="4" s="1"/>
  <c r="E64" i="4" s="1"/>
  <c r="K19" i="4"/>
  <c r="L19" i="4" s="1"/>
  <c r="L58" i="4" s="1"/>
  <c r="C63" i="4" s="1"/>
  <c r="D63" i="4" s="1"/>
  <c r="C35" i="2"/>
  <c r="C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24" authorId="0" shapeId="0" xr:uid="{00000000-0006-0000-0300-000001000000}">
      <text>
        <r>
          <rPr>
            <sz val="10"/>
            <rFont val="Arial"/>
            <family val="2"/>
          </rPr>
          <t>Precio ESTIMADO: no fue posible cotizarlo en ActiveBOM.
Base: valor de mercado tipico de un componente equivalente en encapsulado, tecnologia y cantidad.
Debe reemplazarse por una cotizacion real antes de comprar.</t>
        </r>
      </text>
    </comment>
    <comment ref="H30" authorId="0" shapeId="0" xr:uid="{00000000-0006-0000-0300-000002000000}">
      <text>
        <r>
          <rPr>
            <sz val="10"/>
            <rFont val="Arial"/>
            <family val="2"/>
          </rPr>
          <t>Precio ESTIMADO: no fue posible cotizarlo en ActiveBOM.
Base: valor de mercado tipico de un componente equivalente en encapsulado, tecnologia y cantidad.
Debe reemplazarse por una cotizacion real antes de comprar.</t>
        </r>
      </text>
    </comment>
    <comment ref="H33" authorId="0" shapeId="0" xr:uid="{00000000-0006-0000-0300-000003000000}">
      <text>
        <r>
          <rPr>
            <sz val="10"/>
            <rFont val="Arial"/>
            <family val="2"/>
          </rPr>
          <t>Precio ESTIMADO: no fue posible cotizarlo en ActiveBOM.
Base: valor de mercado tipico de un componente equivalente en encapsulado, tecnologia y cantidad.
Debe reemplazarse por una cotizacion real antes de comprar.</t>
        </r>
      </text>
    </comment>
    <comment ref="H39" authorId="0" shapeId="0" xr:uid="{00000000-0006-0000-0300-000004000000}">
      <text>
        <r>
          <rPr>
            <sz val="10"/>
            <rFont val="Arial"/>
            <family val="2"/>
          </rPr>
          <t>Precio ESTIMADO: no fue posible cotizarlo en ActiveBOM.
Base: valor de mercado tipico de un componente equivalente en encapsulado, tecnologia y cantidad.
Debe reemplazarse por una cotizacion real antes de comprar.</t>
        </r>
      </text>
    </comment>
    <comment ref="H40" authorId="0" shapeId="0" xr:uid="{00000000-0006-0000-0300-000005000000}">
      <text>
        <r>
          <rPr>
            <sz val="10"/>
            <rFont val="Arial"/>
            <family val="2"/>
          </rPr>
          <t>Precio ESTIMADO: no fue posible cotizarlo en ActiveBOM.
Base: valor de mercado tipico de un componente equivalente en encapsulado, tecnologia y cantidad.
Debe reemplazarse por una cotizacion real antes de comprar.</t>
        </r>
      </text>
    </comment>
    <comment ref="H47" authorId="0" shapeId="0" xr:uid="{00000000-0006-0000-0300-000006000000}">
      <text>
        <r>
          <rPr>
            <sz val="10"/>
            <rFont val="Arial"/>
            <family val="2"/>
          </rPr>
          <t>Precio ESTIMADO: no fue posible cotizarlo en ActiveBOM.
Base: valor de mercado tipico de un componente equivalente en encapsulado, tecnologia y cantidad.
Debe reemplazarse por una cotizacion real antes de comprar.</t>
        </r>
      </text>
    </comment>
    <comment ref="H48" authorId="0" shapeId="0" xr:uid="{00000000-0006-0000-0300-000007000000}">
      <text>
        <r>
          <rPr>
            <sz val="10"/>
            <rFont val="Arial"/>
            <family val="2"/>
          </rPr>
          <t>Precio ESTIMADO: no fue posible cotizarlo en ActiveBOM.
Base: valor de mercado tipico de un componente equivalente en encapsulado, tecnologia y cantidad.
Debe reemplazarse por una cotizacion real antes de comprar.</t>
        </r>
      </text>
    </comment>
    <comment ref="H50" authorId="0" shapeId="0" xr:uid="{00000000-0006-0000-0300-000008000000}">
      <text>
        <r>
          <rPr>
            <sz val="10"/>
            <rFont val="Arial"/>
            <family val="2"/>
          </rPr>
          <t>Precio ESTIMADO: no fue posible cotizarlo en ActiveBOM.
Base: valor de mercado tipico de un componente equivalente en encapsulado, tecnologia y cantidad.
Debe reemplazarse por una cotizacion real antes de comprar.</t>
        </r>
      </text>
    </comment>
    <comment ref="H51" authorId="0" shapeId="0" xr:uid="{00000000-0006-0000-0300-000009000000}">
      <text>
        <r>
          <rPr>
            <sz val="10"/>
            <rFont val="Arial"/>
            <family val="2"/>
          </rPr>
          <t>Precio ESTIMADO: no fue posible cotizarlo en ActiveBOM.
Base: valor de mercado tipico de un componente equivalente en encapsulado, tecnologia y cantidad.
Debe reemplazarse por una cotizacion real antes de comprar.</t>
        </r>
      </text>
    </comment>
    <comment ref="H53" authorId="0" shapeId="0" xr:uid="{00000000-0006-0000-0300-00000A000000}">
      <text>
        <r>
          <rPr>
            <sz val="10"/>
            <rFont val="Arial"/>
            <family val="2"/>
          </rPr>
          <t>Precio ESTIMADO: no fue posible cotizarlo en ActiveBOM.
Base: valor de mercado tipico de un componente equivalente en encapsulado, tecnologia y cantidad.
Debe reemplazarse por una cotizacion real antes de comprar.</t>
        </r>
      </text>
    </comment>
    <comment ref="H54" authorId="0" shapeId="0" xr:uid="{00000000-0006-0000-0300-00000B000000}">
      <text>
        <r>
          <rPr>
            <sz val="10"/>
            <rFont val="Arial"/>
            <family val="2"/>
          </rPr>
          <t>Precio ESTIMADO: no fue posible cotizarlo en ActiveBOM.
Base: valor de mercado tipico de un componente equivalente en encapsulado, tecnologia y cantidad.
Debe reemplazarse por una cotizacion real antes de comprar.</t>
        </r>
      </text>
    </comment>
    <comment ref="H55" authorId="0" shapeId="0" xr:uid="{00000000-0006-0000-0300-00000C000000}">
      <text>
        <r>
          <rPr>
            <sz val="10"/>
            <rFont val="Arial"/>
            <family val="2"/>
          </rPr>
          <t>Precio ESTIMADO: no fue posible cotizarlo en ActiveBOM.
Base: valor de mercado tipico de un componente equivalente en encapsulado, tecnologia y cantidad.
Debe reemplazarse por una cotizacion real antes de comprar.</t>
        </r>
      </text>
    </comment>
  </commentList>
</comments>
</file>

<file path=xl/sharedStrings.xml><?xml version="1.0" encoding="utf-8"?>
<sst xmlns="http://schemas.openxmlformats.org/spreadsheetml/2006/main" count="431" uniqueCount="301">
  <si>
    <t>Libro de calculo - Practica 4</t>
  </si>
  <si>
    <t>OBC CubeSat UD34 - Ardila / Tirado</t>
  </si>
  <si>
    <t>Anexo editable del informe tecnico</t>
  </si>
  <si>
    <t>CODIGO DE COLOR</t>
  </si>
  <si>
    <t>Azul</t>
  </si>
  <si>
    <t>Dato de entrada: valor medido, cotizado o tomado de una hoja de datos.</t>
  </si>
  <si>
    <t>Negro</t>
  </si>
  <si>
    <t>Celda calculada por formula. No escribir sobre ella.</t>
  </si>
  <si>
    <t>Verde</t>
  </si>
  <si>
    <t>Enlace a otra hoja de este mismo libro.</t>
  </si>
  <si>
    <t>Relleno amarillo</t>
  </si>
  <si>
    <t>CONTENIDO</t>
  </si>
  <si>
    <t>Calculos</t>
  </si>
  <si>
    <t>Dimensionamiento de los circuitos de soporte: desacoplo, terminacion CAN, LED, pull-ups I2C y periodo del watchdog. Cada bloque parte de sus entradas y deriva el resultado por formula.</t>
  </si>
  <si>
    <t>Restricciones</t>
  </si>
  <si>
    <t>Matriz de restricciones para el diseno fisico (PCB-01 a PCB-12), con fuente, fundamento, mecanismo de aplicacion y estado.</t>
  </si>
  <si>
    <t>Costos</t>
  </si>
  <si>
    <t>BOM de 38 lineas con precio unitario, modelo de escalones de cantidad y costo por lote de 10, 100 y 1000 tarjetas.</t>
  </si>
  <si>
    <t>Calculos de dimensionamiento</t>
  </si>
  <si>
    <t>Las celdas azules son entradas; cambielas y todo lo negro se recalcula.</t>
  </si>
  <si>
    <t>1. TERMINACION Y FILTRADO DEL BUS CAN</t>
  </si>
  <si>
    <t>Parametro</t>
  </si>
  <si>
    <t>Valor</t>
  </si>
  <si>
    <t>Unidad</t>
  </si>
  <si>
    <t>Origen / nota</t>
  </si>
  <si>
    <t>Resistencia de media terminacion (R21..R24)</t>
  </si>
  <si>
    <t>ohm</t>
  </si>
  <si>
    <t>Samsung RC1608F60R4CS, 1%. Hoja de datos del fabricante.</t>
  </si>
  <si>
    <t>Condensador de modo comun (C29, C31)</t>
  </si>
  <si>
    <t>F</t>
  </si>
  <si>
    <t>KEMET C0603C472K2RACTU, 4700 pF.</t>
  </si>
  <si>
    <t>Impedancia diferencial de terminacion</t>
  </si>
  <si>
    <t>Z = 2*R. Objetivo: 120 ohm nominal del par trenzado CAN.</t>
  </si>
  <si>
    <t>Constante de tiempo del filtro</t>
  </si>
  <si>
    <t>s</t>
  </si>
  <si>
    <t>tau = R*C. Debe ser lenta frente al tiempo de bit y rapida frente al ruido.</t>
  </si>
  <si>
    <t>Velocidad del bus CAN</t>
  </si>
  <si>
    <t>bit/s</t>
  </si>
  <si>
    <t>ET-13 de la Practica 3: bus interno &gt;= 500 kbit/s.</t>
  </si>
  <si>
    <t>Tiempo de bit</t>
  </si>
  <si>
    <t>Para comparar con tau.</t>
  </si>
  <si>
    <t>Relacion tiempo de bit / tau</t>
  </si>
  <si>
    <t>-</t>
  </si>
  <si>
    <t>Debe ser &gt;&gt; 1 para que el filtro no deforme el bit.</t>
  </si>
  <si>
    <t>2. RESISTENCIAS LIMITADORAS DE LOS INDICADORES</t>
  </si>
  <si>
    <t>Tension del riel</t>
  </si>
  <si>
    <t>V</t>
  </si>
  <si>
    <t>VDD_MCU.</t>
  </si>
  <si>
    <t>Tension directa del LED</t>
  </si>
  <si>
    <t>Wurth 150060RS75000, valor tipico. VERIFICAR en la hoja de datos.</t>
  </si>
  <si>
    <t>Resistencia serie (R17, R30..R39)</t>
  </si>
  <si>
    <t>Panasonic ERJ-3EKF3300V, 1%.</t>
  </si>
  <si>
    <t>Corriente por LED</t>
  </si>
  <si>
    <t>A</t>
  </si>
  <si>
    <t>I = (VDD - Vf) / R.</t>
  </si>
  <si>
    <t>Numero de indicadores</t>
  </si>
  <si>
    <t>DEBUG_LED1..8 en Ports.SchDoc.</t>
  </si>
  <si>
    <t>Corriente total si todos encienden</t>
  </si>
  <si>
    <t>Peor caso simultaneo.</t>
  </si>
  <si>
    <t>Limite por pin de salida del MCU</t>
  </si>
  <si>
    <t>STM32L496, condicion recomendada de operacion.</t>
  </si>
  <si>
    <t>Margen sobre el limite por pin</t>
  </si>
  <si>
    <t>veces</t>
  </si>
  <si>
    <t>Cuantas veces cabe la corriente real dentro del limite.</t>
  </si>
  <si>
    <t>3. POLARIZACION DE LOS BUSES I2C</t>
  </si>
  <si>
    <t>Resistencia de pull-up (R3..R6)</t>
  </si>
  <si>
    <t>KOA RK73B1JTTD103J, 5%. Valor montado actualmente.</t>
  </si>
  <si>
    <t>Capacidad estimada del bus</t>
  </si>
  <si>
    <t>Valor conservador. Depende de longitud de pista y numero de nodos.</t>
  </si>
  <si>
    <t>Constante de la ecuacion de subida</t>
  </si>
  <si>
    <t>tr = 0,8473*Rp*Cb, para pasar de 30% a 70% de VDD.</t>
  </si>
  <si>
    <t>Tiempo de subida resultante</t>
  </si>
  <si>
    <t>Resultado del valor montado.</t>
  </si>
  <si>
    <t>Limite en modo estandar (100 kHz)</t>
  </si>
  <si>
    <t>Especificacion I2C.</t>
  </si>
  <si>
    <t>Limite en modo rapido (400 kHz)</t>
  </si>
  <si>
    <t>Cumple modo estandar?</t>
  </si>
  <si>
    <t>Cumple modo rapido?</t>
  </si>
  <si>
    <t>Rp maxima para modo rapido</t>
  </si>
  <si>
    <t>Despejando Rp de la ecuacion. Valor normalizado sugerido: 3,3 kohm.</t>
  </si>
  <si>
    <t>4. PERIODO DEL TEMPORIZADOR DE VIGILANCIA</t>
  </si>
  <si>
    <t>Tabla del fabricante (TPL5010)</t>
  </si>
  <si>
    <t>Reproducida en la hoja Watchdog.SchDoc. La relacion R-periodo NO es lineal, por eso se interpola dentro del tramo correcto y no se extrapola.</t>
  </si>
  <si>
    <t>Resistencia (ohm)</t>
  </si>
  <si>
    <t>Periodo (s)</t>
  </si>
  <si>
    <t>R14 montada actualmente</t>
  </si>
  <si>
    <t>KOA RK73B1JTTD103J, 5%. OJO: la nota del fabricante pide 1%.</t>
  </si>
  <si>
    <t>Tolerancia de la referencia montada</t>
  </si>
  <si>
    <t>5%. La nota del TPL5010 en Watchdog.SchDoc exige 1%: ver hallazgo del informe.</t>
  </si>
  <si>
    <t>Indice del tramo inferior de la tabla</t>
  </si>
  <si>
    <t>Posicion del punto de la tabla inmediatamente por debajo de R14.</t>
  </si>
  <si>
    <t>Periodo estimado (interpolacion en el tramo)</t>
  </si>
  <si>
    <t>Interpolacion lineal DENTRO del tramo que contiene a R14. Para el valor definitivo debe usarse la ecuacion de la hoja de datos.</t>
  </si>
  <si>
    <t>Limite de la especificacion ET-35</t>
  </si>
  <si>
    <t>Practica 3: watchdog &lt;= 2 s.</t>
  </si>
  <si>
    <t>Cumple ET-35?</t>
  </si>
  <si>
    <t>R14 de tabla para el periodo objetivo</t>
  </si>
  <si>
    <t>Busqueda exacta en la tabla del fabricante. Valor normalizado mas proximo: 6,8 kohm al 1%.</t>
  </si>
  <si>
    <t>5. DESACOPLAMIENTO DEL MICROCONTROLADOR</t>
  </si>
  <si>
    <t>Pines VDD del STM32L496ZGT6</t>
  </si>
  <si>
    <t>Pines 17, 39, 52, 62, 72, 84, 108, 121, 144.</t>
  </si>
  <si>
    <t>Pines VDDIO2</t>
  </si>
  <si>
    <t>Pines 95 y 131.</t>
  </si>
  <si>
    <t>Condensadores de 100 nF en VDD</t>
  </si>
  <si>
    <t>C5..C13.</t>
  </si>
  <si>
    <t>Condensadores de 100 nF en VDDIO2</t>
  </si>
  <si>
    <t>C2, C3.</t>
  </si>
  <si>
    <t>Cobertura de VDD (uno por pin)</t>
  </si>
  <si>
    <t>Criterio: un condensador de 100 nF por pin de alimentacion.</t>
  </si>
  <si>
    <t>Cobertura de VDDIO2</t>
  </si>
  <si>
    <t>Distancia maxima condensador-pin</t>
  </si>
  <si>
    <t>mm</t>
  </si>
  <si>
    <t>Restriccion PCB-03. Objetivo de minimizacion del lazo de corriente.</t>
  </si>
  <si>
    <t>Matriz de restricciones para el diseno de la PCB</t>
  </si>
  <si>
    <t>Distingue condiciones exigidas por una fuente tecnica, recomendaciones adoptadas e inferencias propias.</t>
  </si>
  <si>
    <t>ID</t>
  </si>
  <si>
    <t>Restriccion y alcance</t>
  </si>
  <si>
    <t>Fuente y fundamento</t>
  </si>
  <si>
    <t>Aplicacion y verificacion</t>
  </si>
  <si>
    <t>Estado</t>
  </si>
  <si>
    <t>PCB-01</t>
  </si>
  <si>
    <t>Par diferencial CAN_A_H / CAN_A_L: impedancia diferencial 120 ohm, longitudes apareadas</t>
  </si>
  <si>
    <t>Impedancia caracteristica del bus CAN. Terminacion de 120,8 ohm calculada en la hoja Calculos, bloque 1</t>
  </si>
  <si>
    <t>Directiva Parameter Set de par diferencial; regla de impedancia en el enrutamiento</t>
  </si>
  <si>
    <t>PENDIENTE</t>
  </si>
  <si>
    <t>PCB-02</t>
  </si>
  <si>
    <t>Par diferencial CAN_B_H / CAN_B_L: idem PCB-01</t>
  </si>
  <si>
    <t>Idem PCB-01</t>
  </si>
  <si>
    <t>PCB-03</t>
  </si>
  <si>
    <t>C5..C13 a menos de 3 mm del pin VDD correspondiente</t>
  </si>
  <si>
    <t>Practica recomendada de desacoplamiento: minimizacion del lazo de corriente de conmutacion</t>
  </si>
  <si>
    <t>Nota de esquematico; verificacion visual en el diseno fisico</t>
  </si>
  <si>
    <t>PCB-04</t>
  </si>
  <si>
    <t>Y1 y Y2 con plano de tierra continuo bajo el componente, sin pistas conmutadas adyacentes</t>
  </si>
  <si>
    <t>Nota de aplicacion de diseno de osciladores del fabricante del MCU</t>
  </si>
  <si>
    <t>Regla de zona prohibida; verificacion visual</t>
  </si>
  <si>
    <t>PCB-05</t>
  </si>
  <si>
    <t>Rieles VDD_MCU y 3V3_A: caida maxima del 2%</t>
  </si>
  <si>
    <t>Presupuesto de consumo de la tarjeta (pendiente de cerrar)</t>
  </si>
  <si>
    <t>Clase de red con ancho minimo; analisis de caida de tension</t>
  </si>
  <si>
    <t>PCB-06</t>
  </si>
  <si>
    <t>Separacion del dominio analogico (VDDA, VREF) de las senales digitales conmutadas</t>
  </si>
  <si>
    <t>Filtro C14 (10 nF) y C15 (1 uF) descrito en el informe</t>
  </si>
  <si>
    <t>Nota de esquematico; verificacion visual</t>
  </si>
  <si>
    <t>PCB-07</t>
  </si>
  <si>
    <t>Supresores D9..D11 y D16..D19 junto al conector correspondiente</t>
  </si>
  <si>
    <t>Principio de proteccion en el punto de entrada</t>
  </si>
  <si>
    <t>PCB-08</t>
  </si>
  <si>
    <t>H1 y H2 en la posicion mecanica del estandar PC/104</t>
  </si>
  <si>
    <t>Especificacion mecanica del formato; RN-01 de la Practica 3</t>
  </si>
  <si>
    <t>Restriccion de ubicacion; contraste con el plano mecanico</t>
  </si>
  <si>
    <t>PCB-09</t>
  </si>
  <si>
    <t>R25..R29 de 49,9 ohm proximas al conector JTAG</t>
  </si>
  <si>
    <t>Amortiguamiento de reflexiones en el cable del programador</t>
  </si>
  <si>
    <t>Nota de esquematico</t>
  </si>
  <si>
    <t>PCB-10</t>
  </si>
  <si>
    <t>Magnetometro U4 alejado de las pistas de alta corriente y de los puentes H</t>
  </si>
  <si>
    <t>RNF-16 de la Practica 3: momento dipolar residual &lt;= 0,01 A*m2</t>
  </si>
  <si>
    <t>Restriccion de ubicacion; verificacion visual</t>
  </si>
  <si>
    <t>PCB-11</t>
  </si>
  <si>
    <t>Ancho y separacion minimos de pista segun el proveedor seleccionado</t>
  </si>
  <si>
    <t>COMPLETAR: enlace del proveedor y fecha de consulta</t>
  </si>
  <si>
    <t>Regla de diseno global</t>
  </si>
  <si>
    <t>COMPLETAR</t>
  </si>
  <si>
    <t>PCB-12</t>
  </si>
  <si>
    <t>Numero de capas, material, espesor total y espesor de cobre</t>
  </si>
  <si>
    <t>COMPLETAR: capacidades del servicio del proveedor</t>
  </si>
  <si>
    <t>Configuracion del apilamiento en la Practica 5</t>
  </si>
  <si>
    <t>Resumen</t>
  </si>
  <si>
    <t>BOM y analisis de costos</t>
  </si>
  <si>
    <t>125 componentes en 38 lineas. Cambie los precios unitarios (azul) y los factores de escalon y todo se recalcula.</t>
  </si>
  <si>
    <t>SUPUESTOS: FACTORES POR ESCALON DE CANTIDAD</t>
  </si>
  <si>
    <t>Cantidad total del componente</t>
  </si>
  <si>
    <t>Factor</t>
  </si>
  <si>
    <t>Fundamento</t>
  </si>
  <si>
    <t>Menos de 10</t>
  </si>
  <si>
    <t>Precio unitario capturado en ActiveBOM</t>
  </si>
  <si>
    <t>De 10 a 99</t>
  </si>
  <si>
    <t>Escalon tipico de 10 en distribuidor</t>
  </si>
  <si>
    <t>De 100 a 999</t>
  </si>
  <si>
    <t>Escalon tipico de 100</t>
  </si>
  <si>
    <t>1000 o mas</t>
  </si>
  <si>
    <t>Escalon tipico de 1000</t>
  </si>
  <si>
    <t>TAMANOS DE LOTE</t>
  </si>
  <si>
    <t>Lote 1</t>
  </si>
  <si>
    <t>Lote 2</t>
  </si>
  <si>
    <t>Lote 3</t>
  </si>
  <si>
    <t>#</t>
  </si>
  <si>
    <t>Referencia</t>
  </si>
  <si>
    <t>Designadores</t>
  </si>
  <si>
    <t>Cant.</t>
  </si>
  <si>
    <t>Fuente</t>
  </si>
  <si>
    <t>Proveedor</t>
  </si>
  <si>
    <t>P. unit (USD)</t>
  </si>
  <si>
    <t>Subtotal</t>
  </si>
  <si>
    <t>Q lote 1</t>
  </si>
  <si>
    <t>Costo lote 1</t>
  </si>
  <si>
    <t>Q lote 2</t>
  </si>
  <si>
    <t>Costo lote 2</t>
  </si>
  <si>
    <t>Q lote 3</t>
  </si>
  <si>
    <t>Costo lote 3</t>
  </si>
  <si>
    <t>GRM188C71A475KE11D</t>
  </si>
  <si>
    <t>C1, C4</t>
  </si>
  <si>
    <t>Real</t>
  </si>
  <si>
    <t>Arrow</t>
  </si>
  <si>
    <t>C0603C104K5RACTU</t>
  </si>
  <si>
    <t>C2, C3, C5-C13, C17, C18, C23, C24, C27_M1, C27_M2, C28, C30</t>
  </si>
  <si>
    <t>Newark</t>
  </si>
  <si>
    <t>GRM188R72A103KA01D</t>
  </si>
  <si>
    <t>C14</t>
  </si>
  <si>
    <t>Mouser</t>
  </si>
  <si>
    <t>C0603C105K4RACTU</t>
  </si>
  <si>
    <t>C15, C16, C25</t>
  </si>
  <si>
    <t>C0603C159C1GACTU</t>
  </si>
  <si>
    <t>C19, C20</t>
  </si>
  <si>
    <t>CBR06C399CAGAC</t>
  </si>
  <si>
    <t>C21, C22</t>
  </si>
  <si>
    <t>C0805C106K8RACTU</t>
  </si>
  <si>
    <t>C26</t>
  </si>
  <si>
    <t>C0603C472K2RACTU</t>
  </si>
  <si>
    <t>C29, C31</t>
  </si>
  <si>
    <t>Avnet</t>
  </si>
  <si>
    <t>150060RS75000</t>
  </si>
  <si>
    <t>D1, D4-D8, D12-D15</t>
  </si>
  <si>
    <t>DigiKey</t>
  </si>
  <si>
    <t>NUP2105LT1G</t>
  </si>
  <si>
    <t>D2, D3</t>
  </si>
  <si>
    <t>ESD9B5.0ST5G</t>
  </si>
  <si>
    <t>D9-D11, D16-D19</t>
  </si>
  <si>
    <t>RS</t>
  </si>
  <si>
    <t>ESQ-126-39-G-D-001</t>
  </si>
  <si>
    <t>H1, H2</t>
  </si>
  <si>
    <t>90120-0125</t>
  </si>
  <si>
    <t>J1</t>
  </si>
  <si>
    <t>M20-9990245</t>
  </si>
  <si>
    <t>J2</t>
  </si>
  <si>
    <t>90120-0124</t>
  </si>
  <si>
    <t>J3</t>
  </si>
  <si>
    <t>53261-0771</t>
  </si>
  <si>
    <t>J4</t>
  </si>
  <si>
    <t>503763-0691</t>
  </si>
  <si>
    <t>J5, J6, J7</t>
  </si>
  <si>
    <t>90120-0123</t>
  </si>
  <si>
    <t>J8</t>
  </si>
  <si>
    <t>473460001</t>
  </si>
  <si>
    <t>J9</t>
  </si>
  <si>
    <t>RK73B1JTTD103J</t>
  </si>
  <si>
    <t>R1-R6, R14, R40, R41</t>
  </si>
  <si>
    <t>ERJ-P03F1000V</t>
  </si>
  <si>
    <t>R7-R12</t>
  </si>
  <si>
    <t>ERA-3AEB104V</t>
  </si>
  <si>
    <t>R13</t>
  </si>
  <si>
    <t>RK73B1JTTD104J</t>
  </si>
  <si>
    <t>R15, R16, R18/R19/R20_M1, R18/R19/R20_M2, R35</t>
  </si>
  <si>
    <t>ERJ-3EKF3300V</t>
  </si>
  <si>
    <t>R17, R30-R34, R36-R39</t>
  </si>
  <si>
    <t>RC1608F60R4CS</t>
  </si>
  <si>
    <t>R21-R24</t>
  </si>
  <si>
    <t>ERJ-3EKF49R9V</t>
  </si>
  <si>
    <t>R25-R29</t>
  </si>
  <si>
    <t>FSM2JSMAA</t>
  </si>
  <si>
    <t>SW1</t>
  </si>
  <si>
    <t>STM32L496ZGT6</t>
  </si>
  <si>
    <t>U0</t>
  </si>
  <si>
    <t>TPL5010QDDCTQ1</t>
  </si>
  <si>
    <t>U1</t>
  </si>
  <si>
    <t>ISM330ISN</t>
  </si>
  <si>
    <t>U2</t>
  </si>
  <si>
    <t>SN74LVC1G125DBVT</t>
  </si>
  <si>
    <t>U3, U5, U7_M1, U7_M2</t>
  </si>
  <si>
    <t>MMC5983MA</t>
  </si>
  <si>
    <t>U4</t>
  </si>
  <si>
    <t>MR25H40MDF</t>
  </si>
  <si>
    <t>U6_M1, U6_M2</t>
  </si>
  <si>
    <t>TCAN332GDCNT</t>
  </si>
  <si>
    <t>U8, U9</t>
  </si>
  <si>
    <t>S25HL512TFANHI010</t>
  </si>
  <si>
    <t>U10</t>
  </si>
  <si>
    <t>SN74LVC2G34DRLR</t>
  </si>
  <si>
    <t>U11, U12, U13</t>
  </si>
  <si>
    <t>NX3215SA-32.768KHZ</t>
  </si>
  <si>
    <t>Y1</t>
  </si>
  <si>
    <t>NX3225GA-16.000M</t>
  </si>
  <si>
    <t>Y2</t>
  </si>
  <si>
    <t>TOTALES</t>
  </si>
  <si>
    <t>RESUMEN POR LOTE</t>
  </si>
  <si>
    <t>Lote (tarjetas)</t>
  </si>
  <si>
    <t>Costo del lote (USD)</t>
  </si>
  <si>
    <t>Costo por tarjeta (USD)</t>
  </si>
  <si>
    <t>Variacion vs lote 1</t>
  </si>
  <si>
    <t>referencia</t>
  </si>
  <si>
    <t>CALIDAD DEL DATO</t>
  </si>
  <si>
    <t>Lineas con precio real</t>
  </si>
  <si>
    <t>Lineas con precio estimado</t>
  </si>
  <si>
    <t>Componentes con precio real</t>
  </si>
  <si>
    <t>Componentes con precio estimado</t>
  </si>
  <si>
    <t>Costo/tarjeta de lineas reales</t>
  </si>
  <si>
    <t>Costo/tarjeta de lineas estimadas</t>
  </si>
  <si>
    <t>Porcentaje del costo que es estimado</t>
  </si>
  <si>
    <t>Nota: este calculo incluye unicamente los componentes de la PCB. No incorpora fabricacion de la tarjeta, ensamblaje, transporte ni impuestos. Los componentes con cantidad minima de pedido o multiplo de empaque pueden generar sobrantes que elevan el costo efectivo: declararlos al cerrar las cotizaciones.</t>
  </si>
  <si>
    <t>Celda que DEBE completar el equipo despues de enrutar la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</si>
</sst>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"/>
    <numFmt numFmtId="166" formatCode="0.000"/>
    <numFmt numFmtId="167" formatCode="0.0%"/>
    <numFmt numFmtId="168" formatCode="\$#,##0.0000"/>
    <numFmt numFmtId="169" formatCode="\$#,##0.00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B3A55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0" fontId="2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2" fillId="3" borderId="0" xfId="0" applyFont="1" applyFill="1"/>
    <xf numFmtId="0" fontId="8" fillId="0" borderId="0" xfId="0" applyFont="1"/>
    <xf numFmtId="0" fontId="8" fillId="4" borderId="1" xfId="0" applyFont="1" applyFill="1" applyBorder="1"/>
    <xf numFmtId="0" fontId="2" fillId="0" borderId="1" xfId="0" applyFont="1" applyBorder="1"/>
    <xf numFmtId="164" fontId="5" fillId="0" borderId="1" xfId="0" applyNumberFormat="1" applyFont="1" applyBorder="1"/>
    <xf numFmtId="0" fontId="3" fillId="0" borderId="1" xfId="0" applyFont="1" applyBorder="1" applyAlignment="1">
      <alignment vertical="top" wrapText="1"/>
    </xf>
    <xf numFmtId="11" fontId="5" fillId="0" borderId="1" xfId="0" applyNumberFormat="1" applyFont="1" applyBorder="1"/>
    <xf numFmtId="164" fontId="6" fillId="0" borderId="1" xfId="0" applyNumberFormat="1" applyFont="1" applyBorder="1"/>
    <xf numFmtId="11" fontId="6" fillId="0" borderId="1" xfId="0" applyNumberFormat="1" applyFont="1" applyBorder="1"/>
    <xf numFmtId="3" fontId="5" fillId="0" borderId="1" xfId="0" applyNumberFormat="1" applyFont="1" applyBorder="1"/>
    <xf numFmtId="2" fontId="5" fillId="0" borderId="1" xfId="0" applyNumberFormat="1" applyFont="1" applyBorder="1"/>
    <xf numFmtId="1" fontId="5" fillId="0" borderId="1" xfId="0" applyNumberFormat="1" applyFont="1" applyBorder="1"/>
    <xf numFmtId="165" fontId="6" fillId="0" borderId="1" xfId="0" applyNumberFormat="1" applyFont="1" applyBorder="1"/>
    <xf numFmtId="166" fontId="5" fillId="0" borderId="1" xfId="0" applyNumberFormat="1" applyFont="1" applyBorder="1"/>
    <xf numFmtId="165" fontId="5" fillId="0" borderId="1" xfId="0" applyNumberFormat="1" applyFont="1" applyBorder="1"/>
    <xf numFmtId="0" fontId="6" fillId="0" borderId="1" xfId="0" applyFont="1" applyBorder="1"/>
    <xf numFmtId="3" fontId="6" fillId="0" borderId="1" xfId="0" applyNumberFormat="1" applyFont="1" applyBorder="1"/>
    <xf numFmtId="0" fontId="3" fillId="0" borderId="0" xfId="0" applyFont="1" applyAlignment="1">
      <alignment vertical="top" wrapText="1"/>
    </xf>
    <xf numFmtId="167" fontId="5" fillId="0" borderId="1" xfId="0" applyNumberFormat="1" applyFont="1" applyBorder="1"/>
    <xf numFmtId="1" fontId="6" fillId="0" borderId="1" xfId="0" applyNumberFormat="1" applyFont="1" applyBorder="1"/>
    <xf numFmtId="2" fontId="6" fillId="0" borderId="1" xfId="0" applyNumberFormat="1" applyFont="1" applyBorder="1"/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8" fillId="4" borderId="0" xfId="0" applyFont="1" applyFill="1"/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168" fontId="5" fillId="0" borderId="1" xfId="0" applyNumberFormat="1" applyFont="1" applyBorder="1"/>
    <xf numFmtId="168" fontId="0" fillId="0" borderId="1" xfId="0" applyNumberFormat="1" applyBorder="1"/>
    <xf numFmtId="3" fontId="0" fillId="0" borderId="1" xfId="0" applyNumberFormat="1" applyBorder="1"/>
    <xf numFmtId="2" fontId="0" fillId="0" borderId="1" xfId="0" applyNumberFormat="1" applyBorder="1"/>
    <xf numFmtId="169" fontId="0" fillId="0" borderId="1" xfId="0" applyNumberFormat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/>
    </xf>
    <xf numFmtId="168" fontId="5" fillId="5" borderId="1" xfId="0" applyNumberFormat="1" applyFont="1" applyFill="1" applyBorder="1"/>
    <xf numFmtId="168" fontId="0" fillId="5" borderId="1" xfId="0" applyNumberFormat="1" applyFill="1" applyBorder="1"/>
    <xf numFmtId="3" fontId="0" fillId="5" borderId="1" xfId="0" applyNumberFormat="1" applyFill="1" applyBorder="1"/>
    <xf numFmtId="2" fontId="0" fillId="5" borderId="1" xfId="0" applyNumberFormat="1" applyFill="1" applyBorder="1"/>
    <xf numFmtId="169" fontId="0" fillId="5" borderId="1" xfId="0" applyNumberFormat="1" applyFill="1" applyBorder="1"/>
    <xf numFmtId="0" fontId="0" fillId="0" borderId="1" xfId="0" applyBorder="1"/>
    <xf numFmtId="168" fontId="8" fillId="0" borderId="1" xfId="0" applyNumberFormat="1" applyFont="1" applyBorder="1"/>
    <xf numFmtId="169" fontId="8" fillId="0" borderId="1" xfId="0" applyNumberFormat="1" applyFont="1" applyBorder="1"/>
    <xf numFmtId="3" fontId="7" fillId="0" borderId="1" xfId="0" applyNumberFormat="1" applyFont="1" applyBorder="1"/>
    <xf numFmtId="169" fontId="7" fillId="0" borderId="1" xfId="0" applyNumberFormat="1" applyFont="1" applyBorder="1"/>
    <xf numFmtId="169" fontId="6" fillId="0" borderId="1" xfId="0" applyNumberFormat="1" applyFont="1" applyBorder="1"/>
    <xf numFmtId="167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3A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showGridLines="0" zoomScaleNormal="100" workbookViewId="0">
      <selection activeCell="G8" sqref="G8"/>
    </sheetView>
  </sheetViews>
  <sheetFormatPr defaultColWidth="8.7109375" defaultRowHeight="15" x14ac:dyDescent="0.25"/>
  <cols>
    <col min="1" max="1" width="3" customWidth="1"/>
    <col min="2" max="2" width="26" customWidth="1"/>
    <col min="3" max="3" width="78" customWidth="1"/>
  </cols>
  <sheetData>
    <row r="2" spans="2:3" ht="18" x14ac:dyDescent="0.25">
      <c r="B2" s="1" t="s">
        <v>0</v>
      </c>
    </row>
    <row r="3" spans="2:3" x14ac:dyDescent="0.25">
      <c r="B3" s="2" t="s">
        <v>1</v>
      </c>
    </row>
    <row r="4" spans="2:3" x14ac:dyDescent="0.25">
      <c r="B4" s="3" t="s">
        <v>2</v>
      </c>
    </row>
    <row r="6" spans="2:3" x14ac:dyDescent="0.25">
      <c r="B6" s="4" t="s">
        <v>3</v>
      </c>
      <c r="C6" s="5"/>
    </row>
    <row r="7" spans="2:3" x14ac:dyDescent="0.25">
      <c r="B7" s="6" t="s">
        <v>4</v>
      </c>
      <c r="C7" s="7" t="s">
        <v>5</v>
      </c>
    </row>
    <row r="8" spans="2:3" x14ac:dyDescent="0.25">
      <c r="B8" s="8" t="s">
        <v>6</v>
      </c>
      <c r="C8" s="7" t="s">
        <v>7</v>
      </c>
    </row>
    <row r="9" spans="2:3" x14ac:dyDescent="0.25">
      <c r="B9" s="9" t="s">
        <v>8</v>
      </c>
      <c r="C9" s="7" t="s">
        <v>9</v>
      </c>
    </row>
    <row r="10" spans="2:3" x14ac:dyDescent="0.25">
      <c r="B10" s="10" t="s">
        <v>10</v>
      </c>
      <c r="C10" s="7" t="s">
        <v>300</v>
      </c>
    </row>
    <row r="12" spans="2:3" x14ac:dyDescent="0.25">
      <c r="B12" s="4" t="s">
        <v>11</v>
      </c>
      <c r="C12" s="5"/>
    </row>
    <row r="13" spans="2:3" ht="42" customHeight="1" x14ac:dyDescent="0.25">
      <c r="B13" s="11" t="s">
        <v>12</v>
      </c>
      <c r="C13" s="7" t="s">
        <v>13</v>
      </c>
    </row>
    <row r="14" spans="2:3" ht="42" customHeight="1" x14ac:dyDescent="0.25">
      <c r="B14" s="11" t="s">
        <v>14</v>
      </c>
      <c r="C14" s="7" t="s">
        <v>15</v>
      </c>
    </row>
    <row r="15" spans="2:3" ht="42" customHeight="1" x14ac:dyDescent="0.25">
      <c r="B15" s="11" t="s">
        <v>16</v>
      </c>
      <c r="C15" s="7" t="s">
        <v>17</v>
      </c>
    </row>
    <row r="17" spans="2:3" x14ac:dyDescent="0.25">
      <c r="B17" s="5"/>
      <c r="C17" s="5"/>
    </row>
    <row r="18" spans="2:3" ht="55.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68"/>
  <sheetViews>
    <sheetView showGridLines="0" topLeftCell="A43" zoomScaleNormal="100" workbookViewId="0"/>
  </sheetViews>
  <sheetFormatPr defaultColWidth="8.7109375" defaultRowHeight="15" x14ac:dyDescent="0.25"/>
  <cols>
    <col min="1" max="1" width="3" customWidth="1"/>
    <col min="2" max="2" width="34" customWidth="1"/>
    <col min="3" max="3" width="14" customWidth="1"/>
    <col min="4" max="4" width="10" customWidth="1"/>
    <col min="5" max="5" width="46" customWidth="1"/>
  </cols>
  <sheetData>
    <row r="2" spans="2:5" ht="18" x14ac:dyDescent="0.25">
      <c r="B2" s="1" t="s">
        <v>18</v>
      </c>
    </row>
    <row r="3" spans="2:5" x14ac:dyDescent="0.25">
      <c r="B3" s="3" t="s">
        <v>19</v>
      </c>
    </row>
    <row r="5" spans="2:5" x14ac:dyDescent="0.25">
      <c r="B5" s="4" t="s">
        <v>20</v>
      </c>
      <c r="C5" s="4"/>
      <c r="D5" s="4"/>
      <c r="E5" s="4"/>
    </row>
    <row r="6" spans="2:5" x14ac:dyDescent="0.25">
      <c r="B6" s="12" t="s">
        <v>21</v>
      </c>
      <c r="C6" s="12" t="s">
        <v>22</v>
      </c>
      <c r="D6" s="12" t="s">
        <v>23</v>
      </c>
      <c r="E6" s="12" t="s">
        <v>24</v>
      </c>
    </row>
    <row r="7" spans="2:5" ht="24" x14ac:dyDescent="0.25">
      <c r="B7" s="13" t="s">
        <v>25</v>
      </c>
      <c r="C7" s="14">
        <v>60.4</v>
      </c>
      <c r="D7" s="13" t="s">
        <v>26</v>
      </c>
      <c r="E7" s="15" t="s">
        <v>27</v>
      </c>
    </row>
    <row r="8" spans="2:5" x14ac:dyDescent="0.25">
      <c r="B8" s="13" t="s">
        <v>28</v>
      </c>
      <c r="C8" s="16">
        <v>4.6999999999999999E-9</v>
      </c>
      <c r="D8" s="13" t="s">
        <v>29</v>
      </c>
      <c r="E8" s="15" t="s">
        <v>30</v>
      </c>
    </row>
    <row r="9" spans="2:5" ht="24" x14ac:dyDescent="0.25">
      <c r="B9" s="13" t="s">
        <v>31</v>
      </c>
      <c r="C9" s="17">
        <f>2*C7</f>
        <v>120.8</v>
      </c>
      <c r="D9" s="13" t="s">
        <v>26</v>
      </c>
      <c r="E9" s="15" t="s">
        <v>32</v>
      </c>
    </row>
    <row r="10" spans="2:5" ht="24" x14ac:dyDescent="0.25">
      <c r="B10" s="13" t="s">
        <v>33</v>
      </c>
      <c r="C10" s="18">
        <f>C7*C8</f>
        <v>2.8387999999999997E-7</v>
      </c>
      <c r="D10" s="13" t="s">
        <v>34</v>
      </c>
      <c r="E10" s="15" t="s">
        <v>35</v>
      </c>
    </row>
    <row r="11" spans="2:5" x14ac:dyDescent="0.25">
      <c r="B11" s="13" t="s">
        <v>36</v>
      </c>
      <c r="C11" s="19">
        <v>500000</v>
      </c>
      <c r="D11" s="13" t="s">
        <v>37</v>
      </c>
      <c r="E11" s="15" t="s">
        <v>38</v>
      </c>
    </row>
    <row r="12" spans="2:5" x14ac:dyDescent="0.25">
      <c r="B12" s="13" t="s">
        <v>39</v>
      </c>
      <c r="C12" s="18">
        <f>1/C11</f>
        <v>1.9999999999999999E-6</v>
      </c>
      <c r="D12" s="13" t="s">
        <v>34</v>
      </c>
      <c r="E12" s="15" t="s">
        <v>40</v>
      </c>
    </row>
    <row r="13" spans="2:5" x14ac:dyDescent="0.25">
      <c r="B13" s="13" t="s">
        <v>41</v>
      </c>
      <c r="C13" s="17">
        <f>(1/C11)/C10</f>
        <v>7.045230379033395</v>
      </c>
      <c r="D13" s="13" t="s">
        <v>42</v>
      </c>
      <c r="E13" s="15" t="s">
        <v>43</v>
      </c>
    </row>
    <row r="15" spans="2:5" x14ac:dyDescent="0.25">
      <c r="B15" s="4" t="s">
        <v>44</v>
      </c>
      <c r="C15" s="4"/>
      <c r="D15" s="4"/>
      <c r="E15" s="4"/>
    </row>
    <row r="16" spans="2:5" x14ac:dyDescent="0.25">
      <c r="B16" s="12" t="s">
        <v>21</v>
      </c>
      <c r="C16" s="12" t="s">
        <v>22</v>
      </c>
      <c r="D16" s="12" t="s">
        <v>23</v>
      </c>
      <c r="E16" s="12" t="s">
        <v>24</v>
      </c>
    </row>
    <row r="17" spans="2:5" x14ac:dyDescent="0.25">
      <c r="B17" s="13" t="s">
        <v>45</v>
      </c>
      <c r="C17" s="20">
        <v>3.3</v>
      </c>
      <c r="D17" s="13" t="s">
        <v>46</v>
      </c>
      <c r="E17" s="15" t="s">
        <v>47</v>
      </c>
    </row>
    <row r="18" spans="2:5" ht="24" x14ac:dyDescent="0.25">
      <c r="B18" s="13" t="s">
        <v>48</v>
      </c>
      <c r="C18" s="20">
        <v>2</v>
      </c>
      <c r="D18" s="13" t="s">
        <v>46</v>
      </c>
      <c r="E18" s="15" t="s">
        <v>49</v>
      </c>
    </row>
    <row r="19" spans="2:5" x14ac:dyDescent="0.25">
      <c r="B19" s="13" t="s">
        <v>50</v>
      </c>
      <c r="C19" s="21">
        <v>330</v>
      </c>
      <c r="D19" s="13" t="s">
        <v>26</v>
      </c>
      <c r="E19" s="15" t="s">
        <v>51</v>
      </c>
    </row>
    <row r="20" spans="2:5" x14ac:dyDescent="0.25">
      <c r="B20" s="13" t="s">
        <v>52</v>
      </c>
      <c r="C20" s="22">
        <f>(C17-C18)/C19</f>
        <v>3.9393939393939387E-3</v>
      </c>
      <c r="D20" s="13" t="s">
        <v>53</v>
      </c>
      <c r="E20" s="15" t="s">
        <v>54</v>
      </c>
    </row>
    <row r="21" spans="2:5" x14ac:dyDescent="0.25">
      <c r="B21" s="13" t="s">
        <v>55</v>
      </c>
      <c r="C21" s="21">
        <v>8</v>
      </c>
      <c r="D21" s="13" t="s">
        <v>42</v>
      </c>
      <c r="E21" s="15" t="s">
        <v>56</v>
      </c>
    </row>
    <row r="22" spans="2:5" x14ac:dyDescent="0.25">
      <c r="B22" s="13" t="s">
        <v>57</v>
      </c>
      <c r="C22" s="22">
        <f>C20*C21</f>
        <v>3.151515151515151E-2</v>
      </c>
      <c r="D22" s="13" t="s">
        <v>53</v>
      </c>
      <c r="E22" s="15" t="s">
        <v>58</v>
      </c>
    </row>
    <row r="23" spans="2:5" x14ac:dyDescent="0.25">
      <c r="B23" s="13" t="s">
        <v>59</v>
      </c>
      <c r="C23" s="23">
        <v>0.02</v>
      </c>
      <c r="D23" s="13" t="s">
        <v>53</v>
      </c>
      <c r="E23" s="15" t="s">
        <v>60</v>
      </c>
    </row>
    <row r="24" spans="2:5" x14ac:dyDescent="0.25">
      <c r="B24" s="13" t="s">
        <v>61</v>
      </c>
      <c r="C24" s="17">
        <f>C23/C20</f>
        <v>5.0769230769230775</v>
      </c>
      <c r="D24" s="13" t="s">
        <v>62</v>
      </c>
      <c r="E24" s="15" t="s">
        <v>63</v>
      </c>
    </row>
    <row r="26" spans="2:5" x14ac:dyDescent="0.25">
      <c r="B26" s="4" t="s">
        <v>64</v>
      </c>
      <c r="C26" s="4"/>
      <c r="D26" s="4"/>
      <c r="E26" s="4"/>
    </row>
    <row r="27" spans="2:5" x14ac:dyDescent="0.25">
      <c r="B27" s="12" t="s">
        <v>21</v>
      </c>
      <c r="C27" s="12" t="s">
        <v>22</v>
      </c>
      <c r="D27" s="12" t="s">
        <v>23</v>
      </c>
      <c r="E27" s="12" t="s">
        <v>24</v>
      </c>
    </row>
    <row r="28" spans="2:5" ht="24" x14ac:dyDescent="0.25">
      <c r="B28" s="13" t="s">
        <v>65</v>
      </c>
      <c r="C28" s="19">
        <v>10000</v>
      </c>
      <c r="D28" s="13" t="s">
        <v>26</v>
      </c>
      <c r="E28" s="15" t="s">
        <v>66</v>
      </c>
    </row>
    <row r="29" spans="2:5" ht="24" x14ac:dyDescent="0.25">
      <c r="B29" s="13" t="s">
        <v>67</v>
      </c>
      <c r="C29" s="16">
        <v>1E-10</v>
      </c>
      <c r="D29" s="13" t="s">
        <v>29</v>
      </c>
      <c r="E29" s="15" t="s">
        <v>68</v>
      </c>
    </row>
    <row r="30" spans="2:5" x14ac:dyDescent="0.25">
      <c r="B30" s="13" t="s">
        <v>69</v>
      </c>
      <c r="C30" s="24">
        <v>0.84730000000000005</v>
      </c>
      <c r="D30" s="13" t="s">
        <v>42</v>
      </c>
      <c r="E30" s="15" t="s">
        <v>70</v>
      </c>
    </row>
    <row r="31" spans="2:5" x14ac:dyDescent="0.25">
      <c r="B31" s="13" t="s">
        <v>71</v>
      </c>
      <c r="C31" s="18">
        <f>C30*C28*C29</f>
        <v>8.4730000000000002E-7</v>
      </c>
      <c r="D31" s="13" t="s">
        <v>34</v>
      </c>
      <c r="E31" s="15" t="s">
        <v>72</v>
      </c>
    </row>
    <row r="32" spans="2:5" x14ac:dyDescent="0.25">
      <c r="B32" s="13" t="s">
        <v>73</v>
      </c>
      <c r="C32" s="16">
        <v>9.9999999999999995E-7</v>
      </c>
      <c r="D32" s="13" t="s">
        <v>34</v>
      </c>
      <c r="E32" s="15" t="s">
        <v>74</v>
      </c>
    </row>
    <row r="33" spans="2:5" x14ac:dyDescent="0.25">
      <c r="B33" s="13" t="s">
        <v>75</v>
      </c>
      <c r="C33" s="16">
        <v>2.9999999999999999E-7</v>
      </c>
      <c r="D33" s="13" t="s">
        <v>34</v>
      </c>
      <c r="E33" s="15" t="s">
        <v>74</v>
      </c>
    </row>
    <row r="34" spans="2:5" x14ac:dyDescent="0.25">
      <c r="B34" s="13" t="s">
        <v>76</v>
      </c>
      <c r="C34" s="25" t="str">
        <f>IF(C31&lt;=C32,"SI","NO")</f>
        <v>SI</v>
      </c>
      <c r="D34" s="13" t="s">
        <v>42</v>
      </c>
      <c r="E34" s="15"/>
    </row>
    <row r="35" spans="2:5" x14ac:dyDescent="0.25">
      <c r="B35" s="13" t="s">
        <v>77</v>
      </c>
      <c r="C35" s="25" t="str">
        <f>IF(C31&lt;=C33,"SI","NO")</f>
        <v>NO</v>
      </c>
      <c r="D35" s="13" t="s">
        <v>42</v>
      </c>
      <c r="E35" s="15"/>
    </row>
    <row r="36" spans="2:5" ht="24" x14ac:dyDescent="0.25">
      <c r="B36" s="13" t="s">
        <v>78</v>
      </c>
      <c r="C36" s="26">
        <f>C33/(C30*C29)</f>
        <v>3540.6585624926229</v>
      </c>
      <c r="D36" s="13" t="s">
        <v>26</v>
      </c>
      <c r="E36" s="15" t="s">
        <v>79</v>
      </c>
    </row>
    <row r="38" spans="2:5" x14ac:dyDescent="0.25">
      <c r="B38" s="4" t="s">
        <v>80</v>
      </c>
      <c r="C38" s="4"/>
      <c r="D38" s="4"/>
      <c r="E38" s="4"/>
    </row>
    <row r="39" spans="2:5" ht="30" customHeight="1" x14ac:dyDescent="0.25">
      <c r="B39" s="11" t="s">
        <v>81</v>
      </c>
      <c r="E39" s="27" t="s">
        <v>82</v>
      </c>
    </row>
    <row r="40" spans="2:5" x14ac:dyDescent="0.25">
      <c r="B40" s="12" t="s">
        <v>83</v>
      </c>
      <c r="C40" s="12" t="s">
        <v>84</v>
      </c>
    </row>
    <row r="41" spans="2:5" x14ac:dyDescent="0.25">
      <c r="B41" s="19">
        <v>500</v>
      </c>
      <c r="C41" s="14">
        <v>0.1</v>
      </c>
    </row>
    <row r="42" spans="2:5" x14ac:dyDescent="0.25">
      <c r="B42" s="19">
        <v>1000</v>
      </c>
      <c r="C42" s="14">
        <v>0.2</v>
      </c>
    </row>
    <row r="43" spans="2:5" x14ac:dyDescent="0.25">
      <c r="B43" s="19">
        <v>1500</v>
      </c>
      <c r="C43" s="14">
        <v>0.3</v>
      </c>
    </row>
    <row r="44" spans="2:5" x14ac:dyDescent="0.25">
      <c r="B44" s="19">
        <v>2000</v>
      </c>
      <c r="C44" s="14">
        <v>0.4</v>
      </c>
    </row>
    <row r="45" spans="2:5" x14ac:dyDescent="0.25">
      <c r="B45" s="19">
        <v>2500</v>
      </c>
      <c r="C45" s="14">
        <v>0.5</v>
      </c>
    </row>
    <row r="46" spans="2:5" x14ac:dyDescent="0.25">
      <c r="B46" s="19">
        <v>5200</v>
      </c>
      <c r="C46" s="14">
        <v>1</v>
      </c>
    </row>
    <row r="47" spans="2:5" x14ac:dyDescent="0.25">
      <c r="B47" s="19">
        <v>6790</v>
      </c>
      <c r="C47" s="14">
        <v>2</v>
      </c>
    </row>
    <row r="48" spans="2:5" x14ac:dyDescent="0.25">
      <c r="B48" s="19">
        <v>8850</v>
      </c>
      <c r="C48" s="14">
        <v>5</v>
      </c>
    </row>
    <row r="49" spans="2:5" x14ac:dyDescent="0.25">
      <c r="B49" s="19">
        <v>11200</v>
      </c>
      <c r="C49" s="14">
        <v>10</v>
      </c>
    </row>
    <row r="51" spans="2:5" x14ac:dyDescent="0.25">
      <c r="B51" s="12" t="s">
        <v>21</v>
      </c>
      <c r="C51" s="12" t="s">
        <v>22</v>
      </c>
      <c r="D51" s="12" t="s">
        <v>23</v>
      </c>
      <c r="E51" s="12" t="s">
        <v>24</v>
      </c>
    </row>
    <row r="52" spans="2:5" ht="24" x14ac:dyDescent="0.25">
      <c r="B52" s="13" t="s">
        <v>85</v>
      </c>
      <c r="C52" s="19">
        <v>10000</v>
      </c>
      <c r="D52" s="13" t="s">
        <v>26</v>
      </c>
      <c r="E52" s="15" t="s">
        <v>86</v>
      </c>
    </row>
    <row r="53" spans="2:5" ht="24" x14ac:dyDescent="0.25">
      <c r="B53" s="13" t="s">
        <v>87</v>
      </c>
      <c r="C53" s="28">
        <v>0.05</v>
      </c>
      <c r="D53" s="13" t="s">
        <v>42</v>
      </c>
      <c r="E53" s="15" t="s">
        <v>88</v>
      </c>
    </row>
    <row r="54" spans="2:5" ht="24" x14ac:dyDescent="0.25">
      <c r="B54" s="13" t="s">
        <v>89</v>
      </c>
      <c r="C54" s="29">
        <f>MATCH(C52,$B$41:$B$49,1)</f>
        <v>8</v>
      </c>
      <c r="D54" s="13" t="s">
        <v>42</v>
      </c>
      <c r="E54" s="15" t="s">
        <v>90</v>
      </c>
    </row>
    <row r="55" spans="2:5" ht="36" x14ac:dyDescent="0.25">
      <c r="B55" s="13" t="s">
        <v>91</v>
      </c>
      <c r="C55" s="30">
        <f>INDEX($C$41:$C$49,C54)+(C52-INDEX($B$41:$B$49,C54))*(INDEX($C$41:$C$49,C54+1)-INDEX($C$41:$C$49,C54))/(INDEX($B$41:$B$49,C54+1)-INDEX($B$41:$B$49,C54))</f>
        <v>7.4468085106382977</v>
      </c>
      <c r="D55" s="13" t="s">
        <v>34</v>
      </c>
      <c r="E55" s="15" t="s">
        <v>92</v>
      </c>
    </row>
    <row r="56" spans="2:5" x14ac:dyDescent="0.25">
      <c r="B56" s="13" t="s">
        <v>93</v>
      </c>
      <c r="C56" s="14">
        <v>2</v>
      </c>
      <c r="D56" s="13" t="s">
        <v>34</v>
      </c>
      <c r="E56" s="15" t="s">
        <v>94</v>
      </c>
    </row>
    <row r="57" spans="2:5" x14ac:dyDescent="0.25">
      <c r="B57" s="13" t="s">
        <v>95</v>
      </c>
      <c r="C57" s="25" t="str">
        <f>IF(C55&lt;=C56,"SI","NO")</f>
        <v>NO</v>
      </c>
      <c r="D57" s="13" t="s">
        <v>42</v>
      </c>
      <c r="E57" s="15"/>
    </row>
    <row r="58" spans="2:5" ht="24" x14ac:dyDescent="0.25">
      <c r="B58" s="13" t="s">
        <v>96</v>
      </c>
      <c r="C58" s="26">
        <f>IFERROR(INDEX($B$41:$B$49,MATCH(C56,$C$41:$C$49,0)),"fuera de tabla")</f>
        <v>6790</v>
      </c>
      <c r="D58" s="13" t="s">
        <v>26</v>
      </c>
      <c r="E58" s="15" t="s">
        <v>97</v>
      </c>
    </row>
    <row r="60" spans="2:5" x14ac:dyDescent="0.25">
      <c r="B60" s="4" t="s">
        <v>98</v>
      </c>
      <c r="C60" s="4"/>
      <c r="D60" s="4"/>
      <c r="E60" s="4"/>
    </row>
    <row r="61" spans="2:5" x14ac:dyDescent="0.25">
      <c r="B61" s="12" t="s">
        <v>21</v>
      </c>
      <c r="C61" s="12" t="s">
        <v>22</v>
      </c>
      <c r="D61" s="12" t="s">
        <v>23</v>
      </c>
      <c r="E61" s="12" t="s">
        <v>24</v>
      </c>
    </row>
    <row r="62" spans="2:5" x14ac:dyDescent="0.25">
      <c r="B62" s="13" t="s">
        <v>99</v>
      </c>
      <c r="C62" s="21">
        <v>9</v>
      </c>
      <c r="D62" s="13" t="s">
        <v>42</v>
      </c>
      <c r="E62" s="15" t="s">
        <v>100</v>
      </c>
    </row>
    <row r="63" spans="2:5" x14ac:dyDescent="0.25">
      <c r="B63" s="13" t="s">
        <v>101</v>
      </c>
      <c r="C63" s="21">
        <v>2</v>
      </c>
      <c r="D63" s="13" t="s">
        <v>42</v>
      </c>
      <c r="E63" s="15" t="s">
        <v>102</v>
      </c>
    </row>
    <row r="64" spans="2:5" x14ac:dyDescent="0.25">
      <c r="B64" s="13" t="s">
        <v>103</v>
      </c>
      <c r="C64" s="21">
        <v>9</v>
      </c>
      <c r="D64" s="13" t="s">
        <v>42</v>
      </c>
      <c r="E64" s="15" t="s">
        <v>104</v>
      </c>
    </row>
    <row r="65" spans="2:5" x14ac:dyDescent="0.25">
      <c r="B65" s="13" t="s">
        <v>105</v>
      </c>
      <c r="C65" s="21">
        <v>2</v>
      </c>
      <c r="D65" s="13" t="s">
        <v>42</v>
      </c>
      <c r="E65" s="15" t="s">
        <v>106</v>
      </c>
    </row>
    <row r="66" spans="2:5" ht="24" x14ac:dyDescent="0.25">
      <c r="B66" s="13" t="s">
        <v>107</v>
      </c>
      <c r="C66" s="25" t="str">
        <f>IF(C64&gt;=C62,"COMPLETA","FALTAN "&amp;(C62-C64))</f>
        <v>COMPLETA</v>
      </c>
      <c r="D66" s="13" t="s">
        <v>42</v>
      </c>
      <c r="E66" s="15" t="s">
        <v>108</v>
      </c>
    </row>
    <row r="67" spans="2:5" x14ac:dyDescent="0.25">
      <c r="B67" s="13" t="s">
        <v>109</v>
      </c>
      <c r="C67" s="25" t="str">
        <f>IF(C65&gt;=C63,"COMPLETA","FALTAN "&amp;(C63-C65))</f>
        <v>COMPLETA</v>
      </c>
      <c r="D67" s="13" t="s">
        <v>42</v>
      </c>
      <c r="E67" s="15"/>
    </row>
    <row r="68" spans="2:5" ht="24" x14ac:dyDescent="0.25">
      <c r="B68" s="13" t="s">
        <v>110</v>
      </c>
      <c r="C68" s="14">
        <v>3</v>
      </c>
      <c r="D68" s="13" t="s">
        <v>111</v>
      </c>
      <c r="E68" s="15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9"/>
  <sheetViews>
    <sheetView showGridLines="0" topLeftCell="A10" zoomScaleNormal="100" workbookViewId="0">
      <selection activeCell="D17" sqref="D17"/>
    </sheetView>
  </sheetViews>
  <sheetFormatPr defaultColWidth="8.7109375" defaultRowHeight="15" x14ac:dyDescent="0.25"/>
  <cols>
    <col min="1" max="1" width="3" customWidth="1"/>
    <col min="2" max="2" width="9" customWidth="1"/>
    <col min="3" max="3" width="34" customWidth="1"/>
    <col min="4" max="4" width="30" customWidth="1"/>
    <col min="5" max="5" width="32" customWidth="1"/>
    <col min="6" max="6" width="13" customWidth="1"/>
  </cols>
  <sheetData>
    <row r="2" spans="2:6" ht="18" x14ac:dyDescent="0.25">
      <c r="B2" s="1" t="s">
        <v>113</v>
      </c>
    </row>
    <row r="3" spans="2:6" x14ac:dyDescent="0.25">
      <c r="B3" s="3" t="s">
        <v>114</v>
      </c>
    </row>
    <row r="5" spans="2:6" x14ac:dyDescent="0.25">
      <c r="B5" s="31" t="s">
        <v>115</v>
      </c>
      <c r="C5" s="31" t="s">
        <v>116</v>
      </c>
      <c r="D5" s="31" t="s">
        <v>117</v>
      </c>
      <c r="E5" s="31" t="s">
        <v>118</v>
      </c>
      <c r="F5" s="31" t="s">
        <v>119</v>
      </c>
    </row>
    <row r="6" spans="2:6" ht="45.75" customHeight="1" x14ac:dyDescent="0.25">
      <c r="B6" s="32" t="s">
        <v>120</v>
      </c>
      <c r="C6" s="33" t="s">
        <v>121</v>
      </c>
      <c r="D6" s="33" t="s">
        <v>122</v>
      </c>
      <c r="E6" s="33" t="s">
        <v>123</v>
      </c>
      <c r="F6" s="34" t="s">
        <v>124</v>
      </c>
    </row>
    <row r="7" spans="2:6" ht="45.75" customHeight="1" x14ac:dyDescent="0.25">
      <c r="B7" s="32" t="s">
        <v>125</v>
      </c>
      <c r="C7" s="33" t="s">
        <v>126</v>
      </c>
      <c r="D7" s="33" t="s">
        <v>127</v>
      </c>
      <c r="E7" s="33" t="s">
        <v>127</v>
      </c>
      <c r="F7" s="34" t="s">
        <v>124</v>
      </c>
    </row>
    <row r="8" spans="2:6" ht="45.75" customHeight="1" x14ac:dyDescent="0.25">
      <c r="B8" s="32" t="s">
        <v>128</v>
      </c>
      <c r="C8" s="33" t="s">
        <v>129</v>
      </c>
      <c r="D8" s="33" t="s">
        <v>130</v>
      </c>
      <c r="E8" s="33" t="s">
        <v>131</v>
      </c>
      <c r="F8" s="34" t="s">
        <v>124</v>
      </c>
    </row>
    <row r="9" spans="2:6" ht="45.75" customHeight="1" x14ac:dyDescent="0.25">
      <c r="B9" s="32" t="s">
        <v>132</v>
      </c>
      <c r="C9" s="33" t="s">
        <v>133</v>
      </c>
      <c r="D9" s="33" t="s">
        <v>134</v>
      </c>
      <c r="E9" s="33" t="s">
        <v>135</v>
      </c>
      <c r="F9" s="34" t="s">
        <v>124</v>
      </c>
    </row>
    <row r="10" spans="2:6" ht="45.75" customHeight="1" x14ac:dyDescent="0.25">
      <c r="B10" s="32" t="s">
        <v>136</v>
      </c>
      <c r="C10" s="33" t="s">
        <v>137</v>
      </c>
      <c r="D10" s="33" t="s">
        <v>138</v>
      </c>
      <c r="E10" s="33" t="s">
        <v>139</v>
      </c>
      <c r="F10" s="34" t="s">
        <v>124</v>
      </c>
    </row>
    <row r="11" spans="2:6" ht="45.75" customHeight="1" x14ac:dyDescent="0.25">
      <c r="B11" s="32" t="s">
        <v>140</v>
      </c>
      <c r="C11" s="33" t="s">
        <v>141</v>
      </c>
      <c r="D11" s="33" t="s">
        <v>142</v>
      </c>
      <c r="E11" s="33" t="s">
        <v>143</v>
      </c>
      <c r="F11" s="34" t="s">
        <v>124</v>
      </c>
    </row>
    <row r="12" spans="2:6" ht="45.75" customHeight="1" x14ac:dyDescent="0.25">
      <c r="B12" s="32" t="s">
        <v>144</v>
      </c>
      <c r="C12" s="33" t="s">
        <v>145</v>
      </c>
      <c r="D12" s="33" t="s">
        <v>146</v>
      </c>
      <c r="E12" s="33" t="s">
        <v>143</v>
      </c>
      <c r="F12" s="34" t="s">
        <v>124</v>
      </c>
    </row>
    <row r="13" spans="2:6" ht="45.75" customHeight="1" x14ac:dyDescent="0.25">
      <c r="B13" s="32" t="s">
        <v>147</v>
      </c>
      <c r="C13" s="33" t="s">
        <v>148</v>
      </c>
      <c r="D13" s="33" t="s">
        <v>149</v>
      </c>
      <c r="E13" s="33" t="s">
        <v>150</v>
      </c>
      <c r="F13" s="34" t="s">
        <v>124</v>
      </c>
    </row>
    <row r="14" spans="2:6" ht="45.75" customHeight="1" x14ac:dyDescent="0.25">
      <c r="B14" s="32" t="s">
        <v>151</v>
      </c>
      <c r="C14" s="33" t="s">
        <v>152</v>
      </c>
      <c r="D14" s="33" t="s">
        <v>153</v>
      </c>
      <c r="E14" s="33" t="s">
        <v>154</v>
      </c>
      <c r="F14" s="34" t="s">
        <v>124</v>
      </c>
    </row>
    <row r="15" spans="2:6" ht="45.75" customHeight="1" x14ac:dyDescent="0.25">
      <c r="B15" s="32" t="s">
        <v>155</v>
      </c>
      <c r="C15" s="33" t="s">
        <v>156</v>
      </c>
      <c r="D15" s="33" t="s">
        <v>157</v>
      </c>
      <c r="E15" s="33" t="s">
        <v>158</v>
      </c>
      <c r="F15" s="34" t="s">
        <v>124</v>
      </c>
    </row>
    <row r="16" spans="2:6" ht="45.75" customHeight="1" x14ac:dyDescent="0.25">
      <c r="B16" s="32" t="s">
        <v>159</v>
      </c>
      <c r="C16" s="33" t="s">
        <v>160</v>
      </c>
      <c r="D16" s="35" t="s">
        <v>161</v>
      </c>
      <c r="E16" s="33" t="s">
        <v>162</v>
      </c>
      <c r="F16" s="36" t="s">
        <v>163</v>
      </c>
    </row>
    <row r="17" spans="2:6" ht="45.75" customHeight="1" x14ac:dyDescent="0.25">
      <c r="B17" s="32" t="s">
        <v>164</v>
      </c>
      <c r="C17" s="33" t="s">
        <v>165</v>
      </c>
      <c r="D17" s="35" t="s">
        <v>166</v>
      </c>
      <c r="E17" s="33" t="s">
        <v>167</v>
      </c>
      <c r="F17" s="36" t="s">
        <v>163</v>
      </c>
    </row>
    <row r="19" spans="2:6" x14ac:dyDescent="0.25">
      <c r="B19" s="11" t="s">
        <v>168</v>
      </c>
      <c r="C19" s="8" t="str">
        <f>COUNTA(B6:B17)&amp;" restricciones; "&amp;COUNTIF(F6:F17,"COMPLETAR")&amp;" por completar"</f>
        <v>12 restricciones; 2 por completar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77"/>
  <sheetViews>
    <sheetView showGridLines="0" tabSelected="1" zoomScaleNormal="100" workbookViewId="0">
      <pane xSplit="2" ySplit="18" topLeftCell="C62" activePane="bottomRight" state="frozen"/>
      <selection pane="topRight" activeCell="C1" sqref="C1"/>
      <selection pane="bottomLeft" activeCell="A19" sqref="A19"/>
      <selection pane="bottomRight" activeCell="V16" sqref="V16"/>
    </sheetView>
  </sheetViews>
  <sheetFormatPr defaultColWidth="8.7109375" defaultRowHeight="15" x14ac:dyDescent="0.25"/>
  <cols>
    <col min="1" max="1" width="3" customWidth="1"/>
    <col min="2" max="2" width="6" customWidth="1"/>
    <col min="3" max="3" width="26" customWidth="1"/>
    <col min="4" max="4" width="30" customWidth="1"/>
    <col min="5" max="5" width="7" customWidth="1"/>
    <col min="6" max="6" width="9" customWidth="1"/>
    <col min="7" max="7" width="11" customWidth="1"/>
    <col min="8" max="8" width="12" customWidth="1"/>
    <col min="9" max="9" width="9" customWidth="1"/>
    <col min="10" max="10" width="8" customWidth="1"/>
    <col min="11" max="11" width="11" customWidth="1"/>
    <col min="12" max="12" width="9" customWidth="1"/>
    <col min="13" max="13" width="8" customWidth="1"/>
    <col min="14" max="14" width="12" customWidth="1"/>
    <col min="15" max="15" width="10" customWidth="1"/>
    <col min="16" max="16" width="8" customWidth="1"/>
    <col min="17" max="18" width="13" customWidth="1"/>
  </cols>
  <sheetData>
    <row r="2" spans="2:6" ht="18" x14ac:dyDescent="0.25">
      <c r="B2" s="1" t="s">
        <v>169</v>
      </c>
    </row>
    <row r="3" spans="2:6" x14ac:dyDescent="0.25">
      <c r="B3" s="3" t="s">
        <v>170</v>
      </c>
    </row>
    <row r="5" spans="2:6" x14ac:dyDescent="0.25">
      <c r="B5" s="4" t="s">
        <v>171</v>
      </c>
      <c r="C5" s="4"/>
      <c r="D5" s="4"/>
      <c r="E5" s="4"/>
      <c r="F5" s="4"/>
    </row>
    <row r="6" spans="2:6" x14ac:dyDescent="0.25">
      <c r="B6" s="37" t="s">
        <v>172</v>
      </c>
      <c r="C6" s="37" t="s">
        <v>173</v>
      </c>
      <c r="D6" s="37" t="s">
        <v>174</v>
      </c>
    </row>
    <row r="7" spans="2:6" x14ac:dyDescent="0.25">
      <c r="B7" s="13" t="s">
        <v>175</v>
      </c>
      <c r="C7" s="20">
        <v>1</v>
      </c>
      <c r="D7" s="38" t="s">
        <v>176</v>
      </c>
    </row>
    <row r="8" spans="2:6" x14ac:dyDescent="0.25">
      <c r="B8" s="13" t="s">
        <v>177</v>
      </c>
      <c r="C8" s="20">
        <v>0.85</v>
      </c>
      <c r="D8" s="38" t="s">
        <v>178</v>
      </c>
    </row>
    <row r="9" spans="2:6" x14ac:dyDescent="0.25">
      <c r="B9" s="13" t="s">
        <v>179</v>
      </c>
      <c r="C9" s="20">
        <v>0.7</v>
      </c>
      <c r="D9" s="38" t="s">
        <v>180</v>
      </c>
    </row>
    <row r="10" spans="2:6" x14ac:dyDescent="0.25">
      <c r="B10" s="13" t="s">
        <v>181</v>
      </c>
      <c r="C10" s="20">
        <v>0.55000000000000004</v>
      </c>
      <c r="D10" s="38" t="s">
        <v>182</v>
      </c>
    </row>
    <row r="12" spans="2:6" x14ac:dyDescent="0.25">
      <c r="B12" s="4" t="s">
        <v>183</v>
      </c>
      <c r="C12" s="4"/>
      <c r="D12" s="4"/>
      <c r="E12" s="4"/>
      <c r="F12" s="4"/>
    </row>
    <row r="13" spans="2:6" x14ac:dyDescent="0.25">
      <c r="B13" s="32" t="s">
        <v>184</v>
      </c>
      <c r="C13" s="19">
        <v>10</v>
      </c>
    </row>
    <row r="14" spans="2:6" x14ac:dyDescent="0.25">
      <c r="B14" s="32" t="s">
        <v>185</v>
      </c>
      <c r="C14" s="19">
        <v>100</v>
      </c>
    </row>
    <row r="15" spans="2:6" x14ac:dyDescent="0.25">
      <c r="B15" s="32" t="s">
        <v>186</v>
      </c>
      <c r="C15" s="19">
        <v>1000</v>
      </c>
    </row>
    <row r="18" spans="2:18" ht="27.75" customHeight="1" x14ac:dyDescent="0.25">
      <c r="B18" s="31" t="s">
        <v>187</v>
      </c>
      <c r="C18" s="31" t="s">
        <v>188</v>
      </c>
      <c r="D18" s="31" t="s">
        <v>189</v>
      </c>
      <c r="E18" s="31" t="s">
        <v>190</v>
      </c>
      <c r="F18" s="31" t="s">
        <v>191</v>
      </c>
      <c r="G18" s="31" t="s">
        <v>192</v>
      </c>
      <c r="H18" s="31" t="s">
        <v>193</v>
      </c>
      <c r="I18" s="31" t="s">
        <v>194</v>
      </c>
      <c r="J18" s="31" t="s">
        <v>195</v>
      </c>
      <c r="K18" s="31" t="s">
        <v>173</v>
      </c>
      <c r="L18" s="31" t="s">
        <v>196</v>
      </c>
      <c r="M18" s="31" t="s">
        <v>197</v>
      </c>
      <c r="N18" s="31" t="s">
        <v>173</v>
      </c>
      <c r="O18" s="31" t="s">
        <v>198</v>
      </c>
      <c r="P18" s="31" t="s">
        <v>199</v>
      </c>
      <c r="Q18" s="31" t="s">
        <v>173</v>
      </c>
      <c r="R18" s="31" t="s">
        <v>200</v>
      </c>
    </row>
    <row r="19" spans="2:18" x14ac:dyDescent="0.25">
      <c r="B19" s="34">
        <v>1</v>
      </c>
      <c r="C19" s="13" t="s">
        <v>201</v>
      </c>
      <c r="D19" s="33" t="s">
        <v>202</v>
      </c>
      <c r="E19" s="39">
        <v>2</v>
      </c>
      <c r="F19" s="45" t="s">
        <v>203</v>
      </c>
      <c r="G19" s="13" t="s">
        <v>204</v>
      </c>
      <c r="H19" s="40">
        <v>0.223</v>
      </c>
      <c r="I19" s="41">
        <f t="shared" ref="I19:I56" si="0">E19*H19</f>
        <v>0.44600000000000001</v>
      </c>
      <c r="J19" s="42">
        <f t="shared" ref="J19:J56" si="1">E19*$C$13</f>
        <v>20</v>
      </c>
      <c r="K19" s="43">
        <f t="shared" ref="K19:K56" si="2">IF(J19&lt;10,$C$7,IF(J19&lt;100,$C$8,IF(J19&lt;1000,$C$9,$C$10)))</f>
        <v>0.85</v>
      </c>
      <c r="L19" s="44">
        <f t="shared" ref="L19:L56" si="3">J19*H19*K19</f>
        <v>3.7909999999999999</v>
      </c>
      <c r="M19" s="42">
        <f t="shared" ref="M19:M56" si="4">E19*$C$14</f>
        <v>200</v>
      </c>
      <c r="N19" s="43">
        <f t="shared" ref="N19:N56" si="5">IF(M19&lt;10,$C$7,IF(M19&lt;100,$C$8,IF(M19&lt;1000,$C$9,$C$10)))</f>
        <v>0.7</v>
      </c>
      <c r="O19" s="44">
        <f t="shared" ref="O19:O56" si="6">M19*H19*N19</f>
        <v>31.22</v>
      </c>
      <c r="P19" s="42">
        <f t="shared" ref="P19:P56" si="7">E19*$C$15</f>
        <v>2000</v>
      </c>
      <c r="Q19" s="43">
        <f t="shared" ref="Q19:Q56" si="8">IF(P19&lt;10,$C$7,IF(P19&lt;100,$C$8,IF(P19&lt;1000,$C$9,$C$10)))</f>
        <v>0.55000000000000004</v>
      </c>
      <c r="R19" s="44">
        <f t="shared" ref="R19:R56" si="9">P19*H19*Q19</f>
        <v>245.3</v>
      </c>
    </row>
    <row r="20" spans="2:18" ht="25.5" x14ac:dyDescent="0.25">
      <c r="B20" s="45">
        <v>2</v>
      </c>
      <c r="C20" s="46" t="s">
        <v>205</v>
      </c>
      <c r="D20" s="47" t="s">
        <v>206</v>
      </c>
      <c r="E20" s="48">
        <v>19</v>
      </c>
      <c r="F20" s="45" t="s">
        <v>203</v>
      </c>
      <c r="G20" s="46" t="s">
        <v>207</v>
      </c>
      <c r="H20" s="49">
        <v>6.6000000000000003E-2</v>
      </c>
      <c r="I20" s="50">
        <f t="shared" si="0"/>
        <v>1.254</v>
      </c>
      <c r="J20" s="51">
        <f t="shared" si="1"/>
        <v>190</v>
      </c>
      <c r="K20" s="52">
        <f t="shared" si="2"/>
        <v>0.7</v>
      </c>
      <c r="L20" s="53">
        <f t="shared" si="3"/>
        <v>8.7780000000000005</v>
      </c>
      <c r="M20" s="51">
        <f t="shared" si="4"/>
        <v>1900</v>
      </c>
      <c r="N20" s="52">
        <f t="shared" si="5"/>
        <v>0.55000000000000004</v>
      </c>
      <c r="O20" s="53">
        <f t="shared" si="6"/>
        <v>68.970000000000013</v>
      </c>
      <c r="P20" s="51">
        <f t="shared" si="7"/>
        <v>19000</v>
      </c>
      <c r="Q20" s="52">
        <f t="shared" si="8"/>
        <v>0.55000000000000004</v>
      </c>
      <c r="R20" s="44">
        <f t="shared" si="9"/>
        <v>689.7</v>
      </c>
    </row>
    <row r="21" spans="2:18" x14ac:dyDescent="0.25">
      <c r="B21" s="34">
        <v>3</v>
      </c>
      <c r="C21" s="13" t="s">
        <v>208</v>
      </c>
      <c r="D21" s="33" t="s">
        <v>209</v>
      </c>
      <c r="E21" s="39">
        <v>1</v>
      </c>
      <c r="F21" s="45" t="s">
        <v>203</v>
      </c>
      <c r="G21" s="13" t="s">
        <v>210</v>
      </c>
      <c r="H21" s="40">
        <v>0.1</v>
      </c>
      <c r="I21" s="41">
        <f t="shared" si="0"/>
        <v>0.1</v>
      </c>
      <c r="J21" s="42">
        <f t="shared" si="1"/>
        <v>10</v>
      </c>
      <c r="K21" s="43">
        <f t="shared" si="2"/>
        <v>0.85</v>
      </c>
      <c r="L21" s="44">
        <f t="shared" si="3"/>
        <v>0.85</v>
      </c>
      <c r="M21" s="42">
        <f t="shared" si="4"/>
        <v>100</v>
      </c>
      <c r="N21" s="43">
        <f t="shared" si="5"/>
        <v>0.7</v>
      </c>
      <c r="O21" s="44">
        <f t="shared" si="6"/>
        <v>7</v>
      </c>
      <c r="P21" s="42">
        <f t="shared" si="7"/>
        <v>1000</v>
      </c>
      <c r="Q21" s="43">
        <f t="shared" si="8"/>
        <v>0.55000000000000004</v>
      </c>
      <c r="R21" s="44">
        <f t="shared" si="9"/>
        <v>55.000000000000007</v>
      </c>
    </row>
    <row r="22" spans="2:18" x14ac:dyDescent="0.25">
      <c r="B22" s="45">
        <v>4</v>
      </c>
      <c r="C22" s="46" t="s">
        <v>211</v>
      </c>
      <c r="D22" s="47" t="s">
        <v>212</v>
      </c>
      <c r="E22" s="48">
        <v>3</v>
      </c>
      <c r="F22" s="45" t="s">
        <v>203</v>
      </c>
      <c r="G22" s="46" t="s">
        <v>207</v>
      </c>
      <c r="H22" s="49">
        <v>0.13300000000000001</v>
      </c>
      <c r="I22" s="50">
        <f t="shared" si="0"/>
        <v>0.39900000000000002</v>
      </c>
      <c r="J22" s="51">
        <f t="shared" si="1"/>
        <v>30</v>
      </c>
      <c r="K22" s="52">
        <f t="shared" si="2"/>
        <v>0.85</v>
      </c>
      <c r="L22" s="53">
        <f t="shared" si="3"/>
        <v>3.3915000000000002</v>
      </c>
      <c r="M22" s="51">
        <f t="shared" si="4"/>
        <v>300</v>
      </c>
      <c r="N22" s="52">
        <f t="shared" si="5"/>
        <v>0.7</v>
      </c>
      <c r="O22" s="53">
        <f t="shared" si="6"/>
        <v>27.930000000000003</v>
      </c>
      <c r="P22" s="51">
        <f t="shared" si="7"/>
        <v>3000</v>
      </c>
      <c r="Q22" s="52">
        <f t="shared" si="8"/>
        <v>0.55000000000000004</v>
      </c>
      <c r="R22" s="44">
        <f t="shared" si="9"/>
        <v>219.45000000000002</v>
      </c>
    </row>
    <row r="23" spans="2:18" x14ac:dyDescent="0.25">
      <c r="B23" s="34">
        <v>5</v>
      </c>
      <c r="C23" s="13" t="s">
        <v>213</v>
      </c>
      <c r="D23" s="33" t="s">
        <v>214</v>
      </c>
      <c r="E23" s="39">
        <v>2</v>
      </c>
      <c r="F23" s="45" t="s">
        <v>203</v>
      </c>
      <c r="G23" s="13" t="s">
        <v>210</v>
      </c>
      <c r="H23" s="40">
        <v>0.67</v>
      </c>
      <c r="I23" s="41">
        <f t="shared" si="0"/>
        <v>1.34</v>
      </c>
      <c r="J23" s="42">
        <f t="shared" si="1"/>
        <v>20</v>
      </c>
      <c r="K23" s="43">
        <f t="shared" si="2"/>
        <v>0.85</v>
      </c>
      <c r="L23" s="44">
        <f t="shared" si="3"/>
        <v>11.39</v>
      </c>
      <c r="M23" s="42">
        <f t="shared" si="4"/>
        <v>200</v>
      </c>
      <c r="N23" s="43">
        <f t="shared" si="5"/>
        <v>0.7</v>
      </c>
      <c r="O23" s="44">
        <f t="shared" si="6"/>
        <v>93.8</v>
      </c>
      <c r="P23" s="42">
        <f t="shared" si="7"/>
        <v>2000</v>
      </c>
      <c r="Q23" s="43">
        <f t="shared" si="8"/>
        <v>0.55000000000000004</v>
      </c>
      <c r="R23" s="44">
        <f t="shared" si="9"/>
        <v>737.00000000000011</v>
      </c>
    </row>
    <row r="24" spans="2:18" x14ac:dyDescent="0.25">
      <c r="B24" s="45">
        <v>6</v>
      </c>
      <c r="C24" s="46" t="s">
        <v>215</v>
      </c>
      <c r="D24" s="47" t="s">
        <v>216</v>
      </c>
      <c r="E24" s="48">
        <v>2</v>
      </c>
      <c r="F24" s="45" t="s">
        <v>203</v>
      </c>
      <c r="G24" s="46" t="s">
        <v>42</v>
      </c>
      <c r="H24" s="49">
        <v>0.1</v>
      </c>
      <c r="I24" s="50">
        <f t="shared" si="0"/>
        <v>0.2</v>
      </c>
      <c r="J24" s="51">
        <f t="shared" si="1"/>
        <v>20</v>
      </c>
      <c r="K24" s="52">
        <f t="shared" si="2"/>
        <v>0.85</v>
      </c>
      <c r="L24" s="53">
        <f t="shared" si="3"/>
        <v>1.7</v>
      </c>
      <c r="M24" s="51">
        <f t="shared" si="4"/>
        <v>200</v>
      </c>
      <c r="N24" s="52">
        <f t="shared" si="5"/>
        <v>0.7</v>
      </c>
      <c r="O24" s="53">
        <f t="shared" si="6"/>
        <v>14</v>
      </c>
      <c r="P24" s="51">
        <f t="shared" si="7"/>
        <v>2000</v>
      </c>
      <c r="Q24" s="52">
        <f t="shared" si="8"/>
        <v>0.55000000000000004</v>
      </c>
      <c r="R24" s="44">
        <f t="shared" si="9"/>
        <v>110.00000000000001</v>
      </c>
    </row>
    <row r="25" spans="2:18" x14ac:dyDescent="0.25">
      <c r="B25" s="34">
        <v>7</v>
      </c>
      <c r="C25" s="13" t="s">
        <v>217</v>
      </c>
      <c r="D25" s="33" t="s">
        <v>218</v>
      </c>
      <c r="E25" s="39">
        <v>1</v>
      </c>
      <c r="F25" s="45" t="s">
        <v>203</v>
      </c>
      <c r="G25" s="13" t="s">
        <v>204</v>
      </c>
      <c r="H25" s="40">
        <v>0.18240000000000001</v>
      </c>
      <c r="I25" s="41">
        <f t="shared" si="0"/>
        <v>0.18240000000000001</v>
      </c>
      <c r="J25" s="42">
        <f t="shared" si="1"/>
        <v>10</v>
      </c>
      <c r="K25" s="43">
        <f t="shared" si="2"/>
        <v>0.85</v>
      </c>
      <c r="L25" s="44">
        <f t="shared" si="3"/>
        <v>1.5504</v>
      </c>
      <c r="M25" s="42">
        <f t="shared" si="4"/>
        <v>100</v>
      </c>
      <c r="N25" s="43">
        <f t="shared" si="5"/>
        <v>0.7</v>
      </c>
      <c r="O25" s="44">
        <f t="shared" si="6"/>
        <v>12.768000000000001</v>
      </c>
      <c r="P25" s="42">
        <f t="shared" si="7"/>
        <v>1000</v>
      </c>
      <c r="Q25" s="43">
        <f t="shared" si="8"/>
        <v>0.55000000000000004</v>
      </c>
      <c r="R25" s="44">
        <f t="shared" si="9"/>
        <v>100.32000000000001</v>
      </c>
    </row>
    <row r="26" spans="2:18" x14ac:dyDescent="0.25">
      <c r="B26" s="45">
        <v>8</v>
      </c>
      <c r="C26" s="46" t="s">
        <v>219</v>
      </c>
      <c r="D26" s="47" t="s">
        <v>220</v>
      </c>
      <c r="E26" s="48">
        <v>2</v>
      </c>
      <c r="F26" s="45" t="s">
        <v>203</v>
      </c>
      <c r="G26" s="46" t="s">
        <v>221</v>
      </c>
      <c r="H26" s="49">
        <v>0.432</v>
      </c>
      <c r="I26" s="50">
        <f t="shared" si="0"/>
        <v>0.86399999999999999</v>
      </c>
      <c r="J26" s="51">
        <f t="shared" si="1"/>
        <v>20</v>
      </c>
      <c r="K26" s="52">
        <f t="shared" si="2"/>
        <v>0.85</v>
      </c>
      <c r="L26" s="53">
        <f t="shared" si="3"/>
        <v>7.3440000000000003</v>
      </c>
      <c r="M26" s="51">
        <f t="shared" si="4"/>
        <v>200</v>
      </c>
      <c r="N26" s="52">
        <f t="shared" si="5"/>
        <v>0.7</v>
      </c>
      <c r="O26" s="53">
        <f t="shared" si="6"/>
        <v>60.48</v>
      </c>
      <c r="P26" s="51">
        <f t="shared" si="7"/>
        <v>2000</v>
      </c>
      <c r="Q26" s="52">
        <f t="shared" si="8"/>
        <v>0.55000000000000004</v>
      </c>
      <c r="R26" s="44">
        <f t="shared" si="9"/>
        <v>475.20000000000005</v>
      </c>
    </row>
    <row r="27" spans="2:18" x14ac:dyDescent="0.25">
      <c r="B27" s="34">
        <v>9</v>
      </c>
      <c r="C27" s="13" t="s">
        <v>222</v>
      </c>
      <c r="D27" s="33" t="s">
        <v>223</v>
      </c>
      <c r="E27" s="39">
        <v>10</v>
      </c>
      <c r="F27" s="45" t="s">
        <v>203</v>
      </c>
      <c r="G27" s="13" t="s">
        <v>224</v>
      </c>
      <c r="H27" s="40">
        <v>0.15</v>
      </c>
      <c r="I27" s="41">
        <f t="shared" si="0"/>
        <v>1.5</v>
      </c>
      <c r="J27" s="42">
        <f t="shared" si="1"/>
        <v>100</v>
      </c>
      <c r="K27" s="43">
        <f t="shared" si="2"/>
        <v>0.7</v>
      </c>
      <c r="L27" s="44">
        <f t="shared" si="3"/>
        <v>10.5</v>
      </c>
      <c r="M27" s="42">
        <f t="shared" si="4"/>
        <v>1000</v>
      </c>
      <c r="N27" s="43">
        <f t="shared" si="5"/>
        <v>0.55000000000000004</v>
      </c>
      <c r="O27" s="44">
        <f t="shared" si="6"/>
        <v>82.5</v>
      </c>
      <c r="P27" s="42">
        <f t="shared" si="7"/>
        <v>10000</v>
      </c>
      <c r="Q27" s="43">
        <f t="shared" si="8"/>
        <v>0.55000000000000004</v>
      </c>
      <c r="R27" s="44">
        <f t="shared" si="9"/>
        <v>825.00000000000011</v>
      </c>
    </row>
    <row r="28" spans="2:18" x14ac:dyDescent="0.25">
      <c r="B28" s="45">
        <v>10</v>
      </c>
      <c r="C28" s="46" t="s">
        <v>225</v>
      </c>
      <c r="D28" s="47" t="s">
        <v>226</v>
      </c>
      <c r="E28" s="48">
        <v>2</v>
      </c>
      <c r="F28" s="45" t="s">
        <v>203</v>
      </c>
      <c r="G28" s="46" t="s">
        <v>204</v>
      </c>
      <c r="H28" s="49">
        <v>0.29249999999999998</v>
      </c>
      <c r="I28" s="50">
        <f t="shared" si="0"/>
        <v>0.58499999999999996</v>
      </c>
      <c r="J28" s="51">
        <f t="shared" si="1"/>
        <v>20</v>
      </c>
      <c r="K28" s="52">
        <f t="shared" si="2"/>
        <v>0.85</v>
      </c>
      <c r="L28" s="53">
        <f t="shared" si="3"/>
        <v>4.9724999999999993</v>
      </c>
      <c r="M28" s="51">
        <f t="shared" si="4"/>
        <v>200</v>
      </c>
      <c r="N28" s="52">
        <f t="shared" si="5"/>
        <v>0.7</v>
      </c>
      <c r="O28" s="53">
        <f t="shared" si="6"/>
        <v>40.949999999999996</v>
      </c>
      <c r="P28" s="51">
        <f t="shared" si="7"/>
        <v>2000</v>
      </c>
      <c r="Q28" s="52">
        <f t="shared" si="8"/>
        <v>0.55000000000000004</v>
      </c>
      <c r="R28" s="44">
        <f t="shared" si="9"/>
        <v>321.75</v>
      </c>
    </row>
    <row r="29" spans="2:18" x14ac:dyDescent="0.25">
      <c r="B29" s="34">
        <v>11</v>
      </c>
      <c r="C29" s="13" t="s">
        <v>227</v>
      </c>
      <c r="D29" s="33" t="s">
        <v>228</v>
      </c>
      <c r="E29" s="39">
        <v>7</v>
      </c>
      <c r="F29" s="45" t="s">
        <v>203</v>
      </c>
      <c r="G29" s="13" t="s">
        <v>229</v>
      </c>
      <c r="H29" s="40">
        <v>0.02</v>
      </c>
      <c r="I29" s="41">
        <f t="shared" si="0"/>
        <v>0.14000000000000001</v>
      </c>
      <c r="J29" s="42">
        <f t="shared" si="1"/>
        <v>70</v>
      </c>
      <c r="K29" s="43">
        <f t="shared" si="2"/>
        <v>0.85</v>
      </c>
      <c r="L29" s="44">
        <f t="shared" si="3"/>
        <v>1.1900000000000002</v>
      </c>
      <c r="M29" s="42">
        <f t="shared" si="4"/>
        <v>700</v>
      </c>
      <c r="N29" s="43">
        <f t="shared" si="5"/>
        <v>0.7</v>
      </c>
      <c r="O29" s="44">
        <f t="shared" si="6"/>
        <v>9.7999999999999989</v>
      </c>
      <c r="P29" s="42">
        <f t="shared" si="7"/>
        <v>7000</v>
      </c>
      <c r="Q29" s="43">
        <f t="shared" si="8"/>
        <v>0.55000000000000004</v>
      </c>
      <c r="R29" s="44">
        <f t="shared" si="9"/>
        <v>77</v>
      </c>
    </row>
    <row r="30" spans="2:18" x14ac:dyDescent="0.25">
      <c r="B30" s="45">
        <v>12</v>
      </c>
      <c r="C30" s="46" t="s">
        <v>230</v>
      </c>
      <c r="D30" s="47" t="s">
        <v>231</v>
      </c>
      <c r="E30" s="48">
        <v>2</v>
      </c>
      <c r="F30" s="45" t="s">
        <v>203</v>
      </c>
      <c r="G30" s="46" t="s">
        <v>42</v>
      </c>
      <c r="H30" s="49">
        <v>3.2</v>
      </c>
      <c r="I30" s="50">
        <f t="shared" si="0"/>
        <v>6.4</v>
      </c>
      <c r="J30" s="51">
        <f t="shared" si="1"/>
        <v>20</v>
      </c>
      <c r="K30" s="52">
        <f t="shared" si="2"/>
        <v>0.85</v>
      </c>
      <c r="L30" s="53">
        <f t="shared" si="3"/>
        <v>54.4</v>
      </c>
      <c r="M30" s="51">
        <f t="shared" si="4"/>
        <v>200</v>
      </c>
      <c r="N30" s="52">
        <f t="shared" si="5"/>
        <v>0.7</v>
      </c>
      <c r="O30" s="53">
        <f t="shared" si="6"/>
        <v>448</v>
      </c>
      <c r="P30" s="51">
        <f t="shared" si="7"/>
        <v>2000</v>
      </c>
      <c r="Q30" s="52">
        <f t="shared" si="8"/>
        <v>0.55000000000000004</v>
      </c>
      <c r="R30" s="44">
        <f t="shared" si="9"/>
        <v>3520.0000000000005</v>
      </c>
    </row>
    <row r="31" spans="2:18" x14ac:dyDescent="0.25">
      <c r="B31" s="34">
        <v>13</v>
      </c>
      <c r="C31" s="13" t="s">
        <v>232</v>
      </c>
      <c r="D31" s="33" t="s">
        <v>233</v>
      </c>
      <c r="E31" s="39">
        <v>1</v>
      </c>
      <c r="F31" s="45" t="s">
        <v>203</v>
      </c>
      <c r="G31" s="13" t="s">
        <v>224</v>
      </c>
      <c r="H31" s="40">
        <v>0.73</v>
      </c>
      <c r="I31" s="41">
        <f t="shared" si="0"/>
        <v>0.73</v>
      </c>
      <c r="J31" s="42">
        <f t="shared" si="1"/>
        <v>10</v>
      </c>
      <c r="K31" s="43">
        <f t="shared" si="2"/>
        <v>0.85</v>
      </c>
      <c r="L31" s="44">
        <f t="shared" si="3"/>
        <v>6.2050000000000001</v>
      </c>
      <c r="M31" s="42">
        <f t="shared" si="4"/>
        <v>100</v>
      </c>
      <c r="N31" s="43">
        <f t="shared" si="5"/>
        <v>0.7</v>
      </c>
      <c r="O31" s="44">
        <f t="shared" si="6"/>
        <v>51.099999999999994</v>
      </c>
      <c r="P31" s="42">
        <f t="shared" si="7"/>
        <v>1000</v>
      </c>
      <c r="Q31" s="43">
        <f t="shared" si="8"/>
        <v>0.55000000000000004</v>
      </c>
      <c r="R31" s="44">
        <f t="shared" si="9"/>
        <v>401.50000000000006</v>
      </c>
    </row>
    <row r="32" spans="2:18" x14ac:dyDescent="0.25">
      <c r="B32" s="45">
        <v>14</v>
      </c>
      <c r="C32" s="46" t="s">
        <v>234</v>
      </c>
      <c r="D32" s="47" t="s">
        <v>235</v>
      </c>
      <c r="E32" s="48">
        <v>1</v>
      </c>
      <c r="F32" s="45" t="s">
        <v>203</v>
      </c>
      <c r="G32" s="46" t="s">
        <v>210</v>
      </c>
      <c r="H32" s="49">
        <v>0.12</v>
      </c>
      <c r="I32" s="50">
        <f t="shared" si="0"/>
        <v>0.12</v>
      </c>
      <c r="J32" s="51">
        <f t="shared" si="1"/>
        <v>10</v>
      </c>
      <c r="K32" s="52">
        <f t="shared" si="2"/>
        <v>0.85</v>
      </c>
      <c r="L32" s="53">
        <f t="shared" si="3"/>
        <v>1.02</v>
      </c>
      <c r="M32" s="51">
        <f t="shared" si="4"/>
        <v>100</v>
      </c>
      <c r="N32" s="52">
        <f t="shared" si="5"/>
        <v>0.7</v>
      </c>
      <c r="O32" s="53">
        <f t="shared" si="6"/>
        <v>8.3999999999999986</v>
      </c>
      <c r="P32" s="51">
        <f t="shared" si="7"/>
        <v>1000</v>
      </c>
      <c r="Q32" s="52">
        <f t="shared" si="8"/>
        <v>0.55000000000000004</v>
      </c>
      <c r="R32" s="44">
        <f t="shared" si="9"/>
        <v>66</v>
      </c>
    </row>
    <row r="33" spans="2:18" x14ac:dyDescent="0.25">
      <c r="B33" s="34">
        <v>15</v>
      </c>
      <c r="C33" s="13" t="s">
        <v>236</v>
      </c>
      <c r="D33" s="33" t="s">
        <v>237</v>
      </c>
      <c r="E33" s="39">
        <v>1</v>
      </c>
      <c r="F33" s="45" t="s">
        <v>203</v>
      </c>
      <c r="G33" s="13" t="s">
        <v>42</v>
      </c>
      <c r="H33" s="40">
        <v>0.3</v>
      </c>
      <c r="I33" s="41">
        <f t="shared" si="0"/>
        <v>0.3</v>
      </c>
      <c r="J33" s="42">
        <f t="shared" si="1"/>
        <v>10</v>
      </c>
      <c r="K33" s="43">
        <f t="shared" si="2"/>
        <v>0.85</v>
      </c>
      <c r="L33" s="44">
        <f t="shared" si="3"/>
        <v>2.5499999999999998</v>
      </c>
      <c r="M33" s="42">
        <f t="shared" si="4"/>
        <v>100</v>
      </c>
      <c r="N33" s="43">
        <f t="shared" si="5"/>
        <v>0.7</v>
      </c>
      <c r="O33" s="44">
        <f t="shared" si="6"/>
        <v>21</v>
      </c>
      <c r="P33" s="42">
        <f t="shared" si="7"/>
        <v>1000</v>
      </c>
      <c r="Q33" s="43">
        <f t="shared" si="8"/>
        <v>0.55000000000000004</v>
      </c>
      <c r="R33" s="44">
        <f t="shared" si="9"/>
        <v>165</v>
      </c>
    </row>
    <row r="34" spans="2:18" x14ac:dyDescent="0.25">
      <c r="B34" s="45">
        <v>16</v>
      </c>
      <c r="C34" s="46" t="s">
        <v>238</v>
      </c>
      <c r="D34" s="47" t="s">
        <v>239</v>
      </c>
      <c r="E34" s="48">
        <v>1</v>
      </c>
      <c r="F34" s="45" t="s">
        <v>203</v>
      </c>
      <c r="G34" s="46" t="s">
        <v>204</v>
      </c>
      <c r="H34" s="49">
        <v>0.75109999999999999</v>
      </c>
      <c r="I34" s="50">
        <f t="shared" si="0"/>
        <v>0.75109999999999999</v>
      </c>
      <c r="J34" s="51">
        <f t="shared" si="1"/>
        <v>10</v>
      </c>
      <c r="K34" s="52">
        <f t="shared" si="2"/>
        <v>0.85</v>
      </c>
      <c r="L34" s="53">
        <f t="shared" si="3"/>
        <v>6.3843499999999995</v>
      </c>
      <c r="M34" s="51">
        <f t="shared" si="4"/>
        <v>100</v>
      </c>
      <c r="N34" s="52">
        <f t="shared" si="5"/>
        <v>0.7</v>
      </c>
      <c r="O34" s="53">
        <f t="shared" si="6"/>
        <v>52.576999999999998</v>
      </c>
      <c r="P34" s="51">
        <f t="shared" si="7"/>
        <v>1000</v>
      </c>
      <c r="Q34" s="52">
        <f t="shared" si="8"/>
        <v>0.55000000000000004</v>
      </c>
      <c r="R34" s="44">
        <f t="shared" si="9"/>
        <v>413.10500000000002</v>
      </c>
    </row>
    <row r="35" spans="2:18" x14ac:dyDescent="0.25">
      <c r="B35" s="34">
        <v>17</v>
      </c>
      <c r="C35" s="13" t="s">
        <v>240</v>
      </c>
      <c r="D35" s="33" t="s">
        <v>241</v>
      </c>
      <c r="E35" s="39">
        <v>3</v>
      </c>
      <c r="F35" s="45" t="s">
        <v>203</v>
      </c>
      <c r="G35" s="13" t="s">
        <v>207</v>
      </c>
      <c r="H35" s="40">
        <v>1.3</v>
      </c>
      <c r="I35" s="41">
        <f t="shared" si="0"/>
        <v>3.9000000000000004</v>
      </c>
      <c r="J35" s="42">
        <f t="shared" si="1"/>
        <v>30</v>
      </c>
      <c r="K35" s="43">
        <f t="shared" si="2"/>
        <v>0.85</v>
      </c>
      <c r="L35" s="44">
        <f t="shared" si="3"/>
        <v>33.15</v>
      </c>
      <c r="M35" s="42">
        <f t="shared" si="4"/>
        <v>300</v>
      </c>
      <c r="N35" s="43">
        <f t="shared" si="5"/>
        <v>0.7</v>
      </c>
      <c r="O35" s="44">
        <f t="shared" si="6"/>
        <v>273</v>
      </c>
      <c r="P35" s="42">
        <f t="shared" si="7"/>
        <v>3000</v>
      </c>
      <c r="Q35" s="43">
        <f t="shared" si="8"/>
        <v>0.55000000000000004</v>
      </c>
      <c r="R35" s="44">
        <f t="shared" si="9"/>
        <v>2145</v>
      </c>
    </row>
    <row r="36" spans="2:18" x14ac:dyDescent="0.25">
      <c r="B36" s="45">
        <v>18</v>
      </c>
      <c r="C36" s="46" t="s">
        <v>242</v>
      </c>
      <c r="D36" s="47" t="s">
        <v>243</v>
      </c>
      <c r="E36" s="48">
        <v>1</v>
      </c>
      <c r="F36" s="45" t="s">
        <v>203</v>
      </c>
      <c r="G36" s="46" t="s">
        <v>221</v>
      </c>
      <c r="H36" s="49">
        <v>0.3216</v>
      </c>
      <c r="I36" s="50">
        <f t="shared" si="0"/>
        <v>0.3216</v>
      </c>
      <c r="J36" s="51">
        <f t="shared" si="1"/>
        <v>10</v>
      </c>
      <c r="K36" s="52">
        <f t="shared" si="2"/>
        <v>0.85</v>
      </c>
      <c r="L36" s="53">
        <f t="shared" si="3"/>
        <v>2.7336</v>
      </c>
      <c r="M36" s="51">
        <f t="shared" si="4"/>
        <v>100</v>
      </c>
      <c r="N36" s="52">
        <f t="shared" si="5"/>
        <v>0.7</v>
      </c>
      <c r="O36" s="53">
        <f t="shared" si="6"/>
        <v>22.511999999999997</v>
      </c>
      <c r="P36" s="51">
        <f t="shared" si="7"/>
        <v>1000</v>
      </c>
      <c r="Q36" s="52">
        <f t="shared" si="8"/>
        <v>0.55000000000000004</v>
      </c>
      <c r="R36" s="44">
        <f t="shared" si="9"/>
        <v>176.88000000000002</v>
      </c>
    </row>
    <row r="37" spans="2:18" x14ac:dyDescent="0.25">
      <c r="B37" s="34">
        <v>19</v>
      </c>
      <c r="C37" s="13" t="s">
        <v>244</v>
      </c>
      <c r="D37" s="33" t="s">
        <v>245</v>
      </c>
      <c r="E37" s="39">
        <v>1</v>
      </c>
      <c r="F37" s="45" t="s">
        <v>203</v>
      </c>
      <c r="G37" s="13" t="s">
        <v>229</v>
      </c>
      <c r="H37" s="40">
        <v>0.36</v>
      </c>
      <c r="I37" s="41">
        <f t="shared" si="0"/>
        <v>0.36</v>
      </c>
      <c r="J37" s="42">
        <f t="shared" si="1"/>
        <v>10</v>
      </c>
      <c r="K37" s="43">
        <f t="shared" si="2"/>
        <v>0.85</v>
      </c>
      <c r="L37" s="44">
        <f t="shared" si="3"/>
        <v>3.0599999999999996</v>
      </c>
      <c r="M37" s="42">
        <f t="shared" si="4"/>
        <v>100</v>
      </c>
      <c r="N37" s="43">
        <f t="shared" si="5"/>
        <v>0.7</v>
      </c>
      <c r="O37" s="44">
        <f t="shared" si="6"/>
        <v>25.2</v>
      </c>
      <c r="P37" s="42">
        <f t="shared" si="7"/>
        <v>1000</v>
      </c>
      <c r="Q37" s="43">
        <f t="shared" si="8"/>
        <v>0.55000000000000004</v>
      </c>
      <c r="R37" s="44">
        <f t="shared" si="9"/>
        <v>198.00000000000003</v>
      </c>
    </row>
    <row r="38" spans="2:18" x14ac:dyDescent="0.25">
      <c r="B38" s="45">
        <v>20</v>
      </c>
      <c r="C38" s="46" t="s">
        <v>246</v>
      </c>
      <c r="D38" s="47" t="s">
        <v>247</v>
      </c>
      <c r="E38" s="48">
        <v>9</v>
      </c>
      <c r="F38" s="45" t="s">
        <v>203</v>
      </c>
      <c r="G38" s="46" t="s">
        <v>204</v>
      </c>
      <c r="H38" s="49">
        <v>5.4999999999999997E-3</v>
      </c>
      <c r="I38" s="50">
        <f t="shared" si="0"/>
        <v>4.9499999999999995E-2</v>
      </c>
      <c r="J38" s="51">
        <f t="shared" si="1"/>
        <v>90</v>
      </c>
      <c r="K38" s="52">
        <f t="shared" si="2"/>
        <v>0.85</v>
      </c>
      <c r="L38" s="53">
        <f t="shared" si="3"/>
        <v>0.42075000000000001</v>
      </c>
      <c r="M38" s="51">
        <f t="shared" si="4"/>
        <v>900</v>
      </c>
      <c r="N38" s="52">
        <f t="shared" si="5"/>
        <v>0.7</v>
      </c>
      <c r="O38" s="53">
        <f t="shared" si="6"/>
        <v>3.4649999999999994</v>
      </c>
      <c r="P38" s="51">
        <f t="shared" si="7"/>
        <v>9000</v>
      </c>
      <c r="Q38" s="52">
        <f t="shared" si="8"/>
        <v>0.55000000000000004</v>
      </c>
      <c r="R38" s="44">
        <f t="shared" si="9"/>
        <v>27.225000000000001</v>
      </c>
    </row>
    <row r="39" spans="2:18" x14ac:dyDescent="0.25">
      <c r="B39" s="34">
        <v>21</v>
      </c>
      <c r="C39" s="13" t="s">
        <v>248</v>
      </c>
      <c r="D39" s="33" t="s">
        <v>249</v>
      </c>
      <c r="E39" s="39">
        <v>6</v>
      </c>
      <c r="F39" s="45" t="s">
        <v>203</v>
      </c>
      <c r="G39" s="13" t="s">
        <v>42</v>
      </c>
      <c r="H39" s="40">
        <v>0.1</v>
      </c>
      <c r="I39" s="41">
        <f t="shared" si="0"/>
        <v>0.60000000000000009</v>
      </c>
      <c r="J39" s="42">
        <f t="shared" si="1"/>
        <v>60</v>
      </c>
      <c r="K39" s="43">
        <f t="shared" si="2"/>
        <v>0.85</v>
      </c>
      <c r="L39" s="44">
        <f t="shared" si="3"/>
        <v>5.0999999999999996</v>
      </c>
      <c r="M39" s="42">
        <f t="shared" si="4"/>
        <v>600</v>
      </c>
      <c r="N39" s="43">
        <f t="shared" si="5"/>
        <v>0.7</v>
      </c>
      <c r="O39" s="44">
        <f t="shared" si="6"/>
        <v>42</v>
      </c>
      <c r="P39" s="42">
        <f t="shared" si="7"/>
        <v>6000</v>
      </c>
      <c r="Q39" s="43">
        <f t="shared" si="8"/>
        <v>0.55000000000000004</v>
      </c>
      <c r="R39" s="44">
        <f t="shared" si="9"/>
        <v>330</v>
      </c>
    </row>
    <row r="40" spans="2:18" x14ac:dyDescent="0.25">
      <c r="B40" s="45">
        <v>22</v>
      </c>
      <c r="C40" s="46" t="s">
        <v>250</v>
      </c>
      <c r="D40" s="47" t="s">
        <v>251</v>
      </c>
      <c r="E40" s="48">
        <v>1</v>
      </c>
      <c r="F40" s="45" t="s">
        <v>203</v>
      </c>
      <c r="G40" s="46" t="s">
        <v>42</v>
      </c>
      <c r="H40" s="49">
        <v>0.15</v>
      </c>
      <c r="I40" s="50">
        <f t="shared" si="0"/>
        <v>0.15</v>
      </c>
      <c r="J40" s="51">
        <f t="shared" si="1"/>
        <v>10</v>
      </c>
      <c r="K40" s="52">
        <f t="shared" si="2"/>
        <v>0.85</v>
      </c>
      <c r="L40" s="53">
        <f t="shared" si="3"/>
        <v>1.2749999999999999</v>
      </c>
      <c r="M40" s="51">
        <f t="shared" si="4"/>
        <v>100</v>
      </c>
      <c r="N40" s="52">
        <f t="shared" si="5"/>
        <v>0.7</v>
      </c>
      <c r="O40" s="53">
        <f t="shared" si="6"/>
        <v>10.5</v>
      </c>
      <c r="P40" s="51">
        <f t="shared" si="7"/>
        <v>1000</v>
      </c>
      <c r="Q40" s="52">
        <f t="shared" si="8"/>
        <v>0.55000000000000004</v>
      </c>
      <c r="R40" s="44">
        <f t="shared" si="9"/>
        <v>82.5</v>
      </c>
    </row>
    <row r="41" spans="2:18" ht="25.5" x14ac:dyDescent="0.25">
      <c r="B41" s="34">
        <v>23</v>
      </c>
      <c r="C41" s="13" t="s">
        <v>252</v>
      </c>
      <c r="D41" s="33" t="s">
        <v>253</v>
      </c>
      <c r="E41" s="39">
        <v>9</v>
      </c>
      <c r="F41" s="45" t="s">
        <v>203</v>
      </c>
      <c r="G41" s="13" t="s">
        <v>204</v>
      </c>
      <c r="H41" s="40">
        <v>1.17E-2</v>
      </c>
      <c r="I41" s="41">
        <f t="shared" si="0"/>
        <v>0.1053</v>
      </c>
      <c r="J41" s="42">
        <f t="shared" si="1"/>
        <v>90</v>
      </c>
      <c r="K41" s="43">
        <f t="shared" si="2"/>
        <v>0.85</v>
      </c>
      <c r="L41" s="44">
        <f t="shared" si="3"/>
        <v>0.8950499999999999</v>
      </c>
      <c r="M41" s="42">
        <f t="shared" si="4"/>
        <v>900</v>
      </c>
      <c r="N41" s="43">
        <f t="shared" si="5"/>
        <v>0.7</v>
      </c>
      <c r="O41" s="44">
        <f t="shared" si="6"/>
        <v>7.3710000000000004</v>
      </c>
      <c r="P41" s="42">
        <f t="shared" si="7"/>
        <v>9000</v>
      </c>
      <c r="Q41" s="43">
        <f t="shared" si="8"/>
        <v>0.55000000000000004</v>
      </c>
      <c r="R41" s="44">
        <f t="shared" si="9"/>
        <v>57.915000000000006</v>
      </c>
    </row>
    <row r="42" spans="2:18" x14ac:dyDescent="0.25">
      <c r="B42" s="45">
        <v>24</v>
      </c>
      <c r="C42" s="46" t="s">
        <v>254</v>
      </c>
      <c r="D42" s="47" t="s">
        <v>255</v>
      </c>
      <c r="E42" s="48">
        <v>10</v>
      </c>
      <c r="F42" s="45" t="s">
        <v>203</v>
      </c>
      <c r="G42" s="46" t="s">
        <v>204</v>
      </c>
      <c r="H42" s="49">
        <v>2.3300000000000001E-2</v>
      </c>
      <c r="I42" s="50">
        <f t="shared" si="0"/>
        <v>0.23300000000000001</v>
      </c>
      <c r="J42" s="51">
        <f t="shared" si="1"/>
        <v>100</v>
      </c>
      <c r="K42" s="52">
        <f t="shared" si="2"/>
        <v>0.7</v>
      </c>
      <c r="L42" s="53">
        <f t="shared" si="3"/>
        <v>1.631</v>
      </c>
      <c r="M42" s="51">
        <f t="shared" si="4"/>
        <v>1000</v>
      </c>
      <c r="N42" s="52">
        <f t="shared" si="5"/>
        <v>0.55000000000000004</v>
      </c>
      <c r="O42" s="53">
        <f t="shared" si="6"/>
        <v>12.815000000000001</v>
      </c>
      <c r="P42" s="51">
        <f t="shared" si="7"/>
        <v>10000</v>
      </c>
      <c r="Q42" s="52">
        <f t="shared" si="8"/>
        <v>0.55000000000000004</v>
      </c>
      <c r="R42" s="44">
        <f t="shared" si="9"/>
        <v>128.15</v>
      </c>
    </row>
    <row r="43" spans="2:18" x14ac:dyDescent="0.25">
      <c r="B43" s="34">
        <v>25</v>
      </c>
      <c r="C43" s="13" t="s">
        <v>256</v>
      </c>
      <c r="D43" s="33" t="s">
        <v>257</v>
      </c>
      <c r="E43" s="39">
        <v>4</v>
      </c>
      <c r="F43" s="45" t="s">
        <v>203</v>
      </c>
      <c r="G43" s="13" t="s">
        <v>204</v>
      </c>
      <c r="H43" s="40">
        <v>7.1999999999999998E-3</v>
      </c>
      <c r="I43" s="41">
        <f t="shared" si="0"/>
        <v>2.8799999999999999E-2</v>
      </c>
      <c r="J43" s="42">
        <f t="shared" si="1"/>
        <v>40</v>
      </c>
      <c r="K43" s="43">
        <f t="shared" si="2"/>
        <v>0.85</v>
      </c>
      <c r="L43" s="44">
        <f t="shared" si="3"/>
        <v>0.24479999999999996</v>
      </c>
      <c r="M43" s="42">
        <f t="shared" si="4"/>
        <v>400</v>
      </c>
      <c r="N43" s="43">
        <f t="shared" si="5"/>
        <v>0.7</v>
      </c>
      <c r="O43" s="44">
        <f t="shared" si="6"/>
        <v>2.016</v>
      </c>
      <c r="P43" s="42">
        <f t="shared" si="7"/>
        <v>4000</v>
      </c>
      <c r="Q43" s="43">
        <f t="shared" si="8"/>
        <v>0.55000000000000004</v>
      </c>
      <c r="R43" s="44">
        <f t="shared" si="9"/>
        <v>15.840000000000002</v>
      </c>
    </row>
    <row r="44" spans="2:18" x14ac:dyDescent="0.25">
      <c r="B44" s="45">
        <v>26</v>
      </c>
      <c r="C44" s="46" t="s">
        <v>258</v>
      </c>
      <c r="D44" s="47" t="s">
        <v>259</v>
      </c>
      <c r="E44" s="48">
        <v>5</v>
      </c>
      <c r="F44" s="45" t="s">
        <v>203</v>
      </c>
      <c r="G44" s="46" t="s">
        <v>210</v>
      </c>
      <c r="H44" s="49">
        <v>2.4E-2</v>
      </c>
      <c r="I44" s="50">
        <f t="shared" si="0"/>
        <v>0.12</v>
      </c>
      <c r="J44" s="51">
        <f t="shared" si="1"/>
        <v>50</v>
      </c>
      <c r="K44" s="52">
        <f t="shared" si="2"/>
        <v>0.85</v>
      </c>
      <c r="L44" s="53">
        <f t="shared" si="3"/>
        <v>1.02</v>
      </c>
      <c r="M44" s="51">
        <f t="shared" si="4"/>
        <v>500</v>
      </c>
      <c r="N44" s="52">
        <f t="shared" si="5"/>
        <v>0.7</v>
      </c>
      <c r="O44" s="53">
        <f t="shared" si="6"/>
        <v>8.3999999999999986</v>
      </c>
      <c r="P44" s="51">
        <f t="shared" si="7"/>
        <v>5000</v>
      </c>
      <c r="Q44" s="52">
        <f t="shared" si="8"/>
        <v>0.55000000000000004</v>
      </c>
      <c r="R44" s="44">
        <f t="shared" si="9"/>
        <v>66</v>
      </c>
    </row>
    <row r="45" spans="2:18" x14ac:dyDescent="0.25">
      <c r="B45" s="34">
        <v>27</v>
      </c>
      <c r="C45" s="13" t="s">
        <v>260</v>
      </c>
      <c r="D45" s="33" t="s">
        <v>261</v>
      </c>
      <c r="E45" s="39">
        <v>1</v>
      </c>
      <c r="F45" s="45" t="s">
        <v>203</v>
      </c>
      <c r="G45" s="13" t="s">
        <v>229</v>
      </c>
      <c r="H45" s="40">
        <v>0.09</v>
      </c>
      <c r="I45" s="41">
        <f t="shared" si="0"/>
        <v>0.09</v>
      </c>
      <c r="J45" s="42">
        <f t="shared" si="1"/>
        <v>10</v>
      </c>
      <c r="K45" s="43">
        <f t="shared" si="2"/>
        <v>0.85</v>
      </c>
      <c r="L45" s="44">
        <f t="shared" si="3"/>
        <v>0.7649999999999999</v>
      </c>
      <c r="M45" s="42">
        <f t="shared" si="4"/>
        <v>100</v>
      </c>
      <c r="N45" s="43">
        <f t="shared" si="5"/>
        <v>0.7</v>
      </c>
      <c r="O45" s="44">
        <f t="shared" si="6"/>
        <v>6.3</v>
      </c>
      <c r="P45" s="42">
        <f t="shared" si="7"/>
        <v>1000</v>
      </c>
      <c r="Q45" s="43">
        <f t="shared" si="8"/>
        <v>0.55000000000000004</v>
      </c>
      <c r="R45" s="44">
        <f t="shared" si="9"/>
        <v>49.500000000000007</v>
      </c>
    </row>
    <row r="46" spans="2:18" x14ac:dyDescent="0.25">
      <c r="B46" s="45">
        <v>28</v>
      </c>
      <c r="C46" s="46" t="s">
        <v>262</v>
      </c>
      <c r="D46" s="47" t="s">
        <v>263</v>
      </c>
      <c r="E46" s="48">
        <v>1</v>
      </c>
      <c r="F46" s="45" t="s">
        <v>203</v>
      </c>
      <c r="G46" s="46" t="s">
        <v>204</v>
      </c>
      <c r="H46" s="49">
        <v>12.05</v>
      </c>
      <c r="I46" s="50">
        <f t="shared" si="0"/>
        <v>12.05</v>
      </c>
      <c r="J46" s="51">
        <f t="shared" si="1"/>
        <v>10</v>
      </c>
      <c r="K46" s="52">
        <f t="shared" si="2"/>
        <v>0.85</v>
      </c>
      <c r="L46" s="53">
        <f t="shared" si="3"/>
        <v>102.425</v>
      </c>
      <c r="M46" s="51">
        <f t="shared" si="4"/>
        <v>100</v>
      </c>
      <c r="N46" s="52">
        <f t="shared" si="5"/>
        <v>0.7</v>
      </c>
      <c r="O46" s="53">
        <f t="shared" si="6"/>
        <v>843.5</v>
      </c>
      <c r="P46" s="51">
        <f t="shared" si="7"/>
        <v>1000</v>
      </c>
      <c r="Q46" s="52">
        <f t="shared" si="8"/>
        <v>0.55000000000000004</v>
      </c>
      <c r="R46" s="44">
        <f t="shared" si="9"/>
        <v>6627.5000000000009</v>
      </c>
    </row>
    <row r="47" spans="2:18" x14ac:dyDescent="0.25">
      <c r="B47" s="34">
        <v>29</v>
      </c>
      <c r="C47" s="13" t="s">
        <v>264</v>
      </c>
      <c r="D47" s="33" t="s">
        <v>265</v>
      </c>
      <c r="E47" s="39">
        <v>1</v>
      </c>
      <c r="F47" s="45" t="s">
        <v>203</v>
      </c>
      <c r="G47" s="13" t="s">
        <v>42</v>
      </c>
      <c r="H47" s="40">
        <v>1.4</v>
      </c>
      <c r="I47" s="41">
        <f t="shared" si="0"/>
        <v>1.4</v>
      </c>
      <c r="J47" s="42">
        <f t="shared" si="1"/>
        <v>10</v>
      </c>
      <c r="K47" s="43">
        <f t="shared" si="2"/>
        <v>0.85</v>
      </c>
      <c r="L47" s="44">
        <f t="shared" si="3"/>
        <v>11.9</v>
      </c>
      <c r="M47" s="42">
        <f t="shared" si="4"/>
        <v>100</v>
      </c>
      <c r="N47" s="43">
        <f t="shared" si="5"/>
        <v>0.7</v>
      </c>
      <c r="O47" s="44">
        <f t="shared" si="6"/>
        <v>98</v>
      </c>
      <c r="P47" s="42">
        <f t="shared" si="7"/>
        <v>1000</v>
      </c>
      <c r="Q47" s="43">
        <f t="shared" si="8"/>
        <v>0.55000000000000004</v>
      </c>
      <c r="R47" s="44">
        <f t="shared" si="9"/>
        <v>770.00000000000011</v>
      </c>
    </row>
    <row r="48" spans="2:18" x14ac:dyDescent="0.25">
      <c r="B48" s="45">
        <v>30</v>
      </c>
      <c r="C48" s="46" t="s">
        <v>266</v>
      </c>
      <c r="D48" s="47" t="s">
        <v>267</v>
      </c>
      <c r="E48" s="48">
        <v>1</v>
      </c>
      <c r="F48" s="45" t="s">
        <v>203</v>
      </c>
      <c r="G48" s="46" t="s">
        <v>42</v>
      </c>
      <c r="H48" s="49">
        <v>8</v>
      </c>
      <c r="I48" s="50">
        <f t="shared" si="0"/>
        <v>8</v>
      </c>
      <c r="J48" s="51">
        <f t="shared" si="1"/>
        <v>10</v>
      </c>
      <c r="K48" s="52">
        <f t="shared" si="2"/>
        <v>0.85</v>
      </c>
      <c r="L48" s="53">
        <f t="shared" si="3"/>
        <v>68</v>
      </c>
      <c r="M48" s="51">
        <f t="shared" si="4"/>
        <v>100</v>
      </c>
      <c r="N48" s="52">
        <f t="shared" si="5"/>
        <v>0.7</v>
      </c>
      <c r="O48" s="53">
        <f t="shared" si="6"/>
        <v>560</v>
      </c>
      <c r="P48" s="51">
        <f t="shared" si="7"/>
        <v>1000</v>
      </c>
      <c r="Q48" s="52">
        <f t="shared" si="8"/>
        <v>0.55000000000000004</v>
      </c>
      <c r="R48" s="44">
        <f t="shared" si="9"/>
        <v>4400</v>
      </c>
    </row>
    <row r="49" spans="2:18" x14ac:dyDescent="0.25">
      <c r="B49" s="34">
        <v>31</v>
      </c>
      <c r="C49" s="13" t="s">
        <v>268</v>
      </c>
      <c r="D49" s="33" t="s">
        <v>269</v>
      </c>
      <c r="E49" s="39">
        <v>4</v>
      </c>
      <c r="F49" s="45" t="s">
        <v>203</v>
      </c>
      <c r="G49" s="13" t="s">
        <v>204</v>
      </c>
      <c r="H49" s="40">
        <v>0.78110000000000002</v>
      </c>
      <c r="I49" s="41">
        <f t="shared" si="0"/>
        <v>3.1244000000000001</v>
      </c>
      <c r="J49" s="42">
        <f t="shared" si="1"/>
        <v>40</v>
      </c>
      <c r="K49" s="43">
        <f t="shared" si="2"/>
        <v>0.85</v>
      </c>
      <c r="L49" s="44">
        <f t="shared" si="3"/>
        <v>26.557399999999998</v>
      </c>
      <c r="M49" s="42">
        <f t="shared" si="4"/>
        <v>400</v>
      </c>
      <c r="N49" s="43">
        <f t="shared" si="5"/>
        <v>0.7</v>
      </c>
      <c r="O49" s="44">
        <f t="shared" si="6"/>
        <v>218.708</v>
      </c>
      <c r="P49" s="42">
        <f t="shared" si="7"/>
        <v>4000</v>
      </c>
      <c r="Q49" s="43">
        <f t="shared" si="8"/>
        <v>0.55000000000000004</v>
      </c>
      <c r="R49" s="44">
        <f t="shared" si="9"/>
        <v>1718.4200000000003</v>
      </c>
    </row>
    <row r="50" spans="2:18" x14ac:dyDescent="0.25">
      <c r="B50" s="45">
        <v>32</v>
      </c>
      <c r="C50" s="46" t="s">
        <v>270</v>
      </c>
      <c r="D50" s="47" t="s">
        <v>271</v>
      </c>
      <c r="E50" s="48">
        <v>1</v>
      </c>
      <c r="F50" s="45" t="s">
        <v>203</v>
      </c>
      <c r="G50" s="46" t="s">
        <v>42</v>
      </c>
      <c r="H50" s="49">
        <v>5</v>
      </c>
      <c r="I50" s="50">
        <f t="shared" si="0"/>
        <v>5</v>
      </c>
      <c r="J50" s="51">
        <f t="shared" si="1"/>
        <v>10</v>
      </c>
      <c r="K50" s="52">
        <f t="shared" si="2"/>
        <v>0.85</v>
      </c>
      <c r="L50" s="53">
        <f t="shared" si="3"/>
        <v>42.5</v>
      </c>
      <c r="M50" s="51">
        <f t="shared" si="4"/>
        <v>100</v>
      </c>
      <c r="N50" s="52">
        <f t="shared" si="5"/>
        <v>0.7</v>
      </c>
      <c r="O50" s="53">
        <f t="shared" si="6"/>
        <v>350</v>
      </c>
      <c r="P50" s="51">
        <f t="shared" si="7"/>
        <v>1000</v>
      </c>
      <c r="Q50" s="52">
        <f t="shared" si="8"/>
        <v>0.55000000000000004</v>
      </c>
      <c r="R50" s="44">
        <f t="shared" si="9"/>
        <v>2750</v>
      </c>
    </row>
    <row r="51" spans="2:18" x14ac:dyDescent="0.25">
      <c r="B51" s="34">
        <v>33</v>
      </c>
      <c r="C51" s="13" t="s">
        <v>272</v>
      </c>
      <c r="D51" s="33" t="s">
        <v>273</v>
      </c>
      <c r="E51" s="39">
        <v>2</v>
      </c>
      <c r="F51" s="45" t="s">
        <v>203</v>
      </c>
      <c r="G51" s="13" t="s">
        <v>42</v>
      </c>
      <c r="H51" s="40">
        <v>8</v>
      </c>
      <c r="I51" s="41">
        <f t="shared" si="0"/>
        <v>16</v>
      </c>
      <c r="J51" s="42">
        <f t="shared" si="1"/>
        <v>20</v>
      </c>
      <c r="K51" s="43">
        <f t="shared" si="2"/>
        <v>0.85</v>
      </c>
      <c r="L51" s="44">
        <f t="shared" si="3"/>
        <v>136</v>
      </c>
      <c r="M51" s="42">
        <f t="shared" si="4"/>
        <v>200</v>
      </c>
      <c r="N51" s="43">
        <f t="shared" si="5"/>
        <v>0.7</v>
      </c>
      <c r="O51" s="44">
        <f t="shared" si="6"/>
        <v>1120</v>
      </c>
      <c r="P51" s="42">
        <f t="shared" si="7"/>
        <v>2000</v>
      </c>
      <c r="Q51" s="43">
        <f t="shared" si="8"/>
        <v>0.55000000000000004</v>
      </c>
      <c r="R51" s="44">
        <f t="shared" si="9"/>
        <v>8800</v>
      </c>
    </row>
    <row r="52" spans="2:18" x14ac:dyDescent="0.25">
      <c r="B52" s="45">
        <v>34</v>
      </c>
      <c r="C52" s="46" t="s">
        <v>274</v>
      </c>
      <c r="D52" s="47" t="s">
        <v>275</v>
      </c>
      <c r="E52" s="48">
        <v>2</v>
      </c>
      <c r="F52" s="45" t="s">
        <v>203</v>
      </c>
      <c r="G52" s="46" t="s">
        <v>207</v>
      </c>
      <c r="H52" s="49">
        <v>3.42</v>
      </c>
      <c r="I52" s="50">
        <f t="shared" si="0"/>
        <v>6.84</v>
      </c>
      <c r="J52" s="51">
        <f t="shared" si="1"/>
        <v>20</v>
      </c>
      <c r="K52" s="52">
        <f t="shared" si="2"/>
        <v>0.85</v>
      </c>
      <c r="L52" s="53">
        <f t="shared" si="3"/>
        <v>58.14</v>
      </c>
      <c r="M52" s="51">
        <f t="shared" si="4"/>
        <v>200</v>
      </c>
      <c r="N52" s="52">
        <f t="shared" si="5"/>
        <v>0.7</v>
      </c>
      <c r="O52" s="53">
        <f t="shared" si="6"/>
        <v>478.79999999999995</v>
      </c>
      <c r="P52" s="51">
        <f t="shared" si="7"/>
        <v>2000</v>
      </c>
      <c r="Q52" s="52">
        <f t="shared" si="8"/>
        <v>0.55000000000000004</v>
      </c>
      <c r="R52" s="44">
        <f t="shared" si="9"/>
        <v>3762.0000000000005</v>
      </c>
    </row>
    <row r="53" spans="2:18" x14ac:dyDescent="0.25">
      <c r="B53" s="34">
        <v>35</v>
      </c>
      <c r="C53" s="13" t="s">
        <v>276</v>
      </c>
      <c r="D53" s="33" t="s">
        <v>277</v>
      </c>
      <c r="E53" s="39">
        <v>1</v>
      </c>
      <c r="F53" s="45" t="s">
        <v>203</v>
      </c>
      <c r="G53" s="13" t="s">
        <v>42</v>
      </c>
      <c r="H53" s="40">
        <v>12</v>
      </c>
      <c r="I53" s="41">
        <f t="shared" si="0"/>
        <v>12</v>
      </c>
      <c r="J53" s="42">
        <f t="shared" si="1"/>
        <v>10</v>
      </c>
      <c r="K53" s="43">
        <f t="shared" si="2"/>
        <v>0.85</v>
      </c>
      <c r="L53" s="44">
        <f t="shared" si="3"/>
        <v>102</v>
      </c>
      <c r="M53" s="42">
        <f t="shared" si="4"/>
        <v>100</v>
      </c>
      <c r="N53" s="43">
        <f t="shared" si="5"/>
        <v>0.7</v>
      </c>
      <c r="O53" s="44">
        <f t="shared" si="6"/>
        <v>840</v>
      </c>
      <c r="P53" s="42">
        <f t="shared" si="7"/>
        <v>1000</v>
      </c>
      <c r="Q53" s="43">
        <f t="shared" si="8"/>
        <v>0.55000000000000004</v>
      </c>
      <c r="R53" s="44">
        <f t="shared" si="9"/>
        <v>6600.0000000000009</v>
      </c>
    </row>
    <row r="54" spans="2:18" x14ac:dyDescent="0.25">
      <c r="B54" s="45">
        <v>36</v>
      </c>
      <c r="C54" s="46" t="s">
        <v>278</v>
      </c>
      <c r="D54" s="47" t="s">
        <v>279</v>
      </c>
      <c r="E54" s="48">
        <v>3</v>
      </c>
      <c r="F54" s="45" t="s">
        <v>203</v>
      </c>
      <c r="G54" s="46" t="s">
        <v>42</v>
      </c>
      <c r="H54" s="49">
        <v>0.35</v>
      </c>
      <c r="I54" s="50">
        <f t="shared" si="0"/>
        <v>1.0499999999999998</v>
      </c>
      <c r="J54" s="51">
        <f t="shared" si="1"/>
        <v>30</v>
      </c>
      <c r="K54" s="52">
        <f t="shared" si="2"/>
        <v>0.85</v>
      </c>
      <c r="L54" s="53">
        <f t="shared" si="3"/>
        <v>8.9249999999999989</v>
      </c>
      <c r="M54" s="51">
        <f t="shared" si="4"/>
        <v>300</v>
      </c>
      <c r="N54" s="52">
        <f t="shared" si="5"/>
        <v>0.7</v>
      </c>
      <c r="O54" s="53">
        <f t="shared" si="6"/>
        <v>73.5</v>
      </c>
      <c r="P54" s="51">
        <f t="shared" si="7"/>
        <v>3000</v>
      </c>
      <c r="Q54" s="52">
        <f t="shared" si="8"/>
        <v>0.55000000000000004</v>
      </c>
      <c r="R54" s="44">
        <f t="shared" si="9"/>
        <v>577.5</v>
      </c>
    </row>
    <row r="55" spans="2:18" x14ac:dyDescent="0.25">
      <c r="B55" s="34">
        <v>37</v>
      </c>
      <c r="C55" s="13" t="s">
        <v>280</v>
      </c>
      <c r="D55" s="33" t="s">
        <v>281</v>
      </c>
      <c r="E55" s="39">
        <v>1</v>
      </c>
      <c r="F55" s="45" t="s">
        <v>203</v>
      </c>
      <c r="G55" s="13" t="s">
        <v>42</v>
      </c>
      <c r="H55" s="40">
        <v>0.6</v>
      </c>
      <c r="I55" s="41">
        <f t="shared" si="0"/>
        <v>0.6</v>
      </c>
      <c r="J55" s="42">
        <f t="shared" si="1"/>
        <v>10</v>
      </c>
      <c r="K55" s="43">
        <f t="shared" si="2"/>
        <v>0.85</v>
      </c>
      <c r="L55" s="44">
        <f t="shared" si="3"/>
        <v>5.0999999999999996</v>
      </c>
      <c r="M55" s="42">
        <f t="shared" si="4"/>
        <v>100</v>
      </c>
      <c r="N55" s="43">
        <f t="shared" si="5"/>
        <v>0.7</v>
      </c>
      <c r="O55" s="44">
        <f t="shared" si="6"/>
        <v>42</v>
      </c>
      <c r="P55" s="42">
        <f t="shared" si="7"/>
        <v>1000</v>
      </c>
      <c r="Q55" s="43">
        <f t="shared" si="8"/>
        <v>0.55000000000000004</v>
      </c>
      <c r="R55" s="44">
        <f t="shared" si="9"/>
        <v>330</v>
      </c>
    </row>
    <row r="56" spans="2:18" x14ac:dyDescent="0.25">
      <c r="B56" s="45">
        <v>38</v>
      </c>
      <c r="C56" s="46" t="s">
        <v>282</v>
      </c>
      <c r="D56" s="47" t="s">
        <v>283</v>
      </c>
      <c r="E56" s="48">
        <v>1</v>
      </c>
      <c r="F56" s="45" t="s">
        <v>203</v>
      </c>
      <c r="G56" s="46" t="s">
        <v>210</v>
      </c>
      <c r="H56" s="49">
        <v>0.65</v>
      </c>
      <c r="I56" s="50">
        <f t="shared" si="0"/>
        <v>0.65</v>
      </c>
      <c r="J56" s="51">
        <f t="shared" si="1"/>
        <v>10</v>
      </c>
      <c r="K56" s="52">
        <f t="shared" si="2"/>
        <v>0.85</v>
      </c>
      <c r="L56" s="53">
        <f t="shared" si="3"/>
        <v>5.5249999999999995</v>
      </c>
      <c r="M56" s="51">
        <f t="shared" si="4"/>
        <v>100</v>
      </c>
      <c r="N56" s="52">
        <f t="shared" si="5"/>
        <v>0.7</v>
      </c>
      <c r="O56" s="53">
        <f t="shared" si="6"/>
        <v>45.5</v>
      </c>
      <c r="P56" s="51">
        <f t="shared" si="7"/>
        <v>1000</v>
      </c>
      <c r="Q56" s="52">
        <f t="shared" si="8"/>
        <v>0.55000000000000004</v>
      </c>
      <c r="R56" s="44">
        <f t="shared" si="9"/>
        <v>357.50000000000006</v>
      </c>
    </row>
    <row r="58" spans="2:18" x14ac:dyDescent="0.25">
      <c r="B58" s="54"/>
      <c r="C58" s="32" t="s">
        <v>284</v>
      </c>
      <c r="D58" s="54"/>
      <c r="E58" s="32">
        <f>SUM(E19:E56)</f>
        <v>125</v>
      </c>
      <c r="F58" s="54"/>
      <c r="G58" s="54"/>
      <c r="H58" s="54"/>
      <c r="I58" s="55">
        <f>SUM(I19:I56)</f>
        <v>87.984099999999998</v>
      </c>
      <c r="J58" s="54"/>
      <c r="K58" s="54"/>
      <c r="L58" s="56">
        <f>SUM(L19:L56)</f>
        <v>743.38434999999993</v>
      </c>
      <c r="M58" s="54"/>
      <c r="N58" s="54"/>
      <c r="O58" s="56">
        <f>SUM(O19:O56)</f>
        <v>6114.0820000000003</v>
      </c>
      <c r="P58" s="54"/>
      <c r="Q58" s="54"/>
      <c r="R58" s="56">
        <f>SUM(R19:R56)</f>
        <v>48391.255000000005</v>
      </c>
    </row>
    <row r="61" spans="2:18" x14ac:dyDescent="0.25">
      <c r="B61" s="4" t="s">
        <v>285</v>
      </c>
      <c r="C61" s="4"/>
      <c r="D61" s="4"/>
      <c r="E61" s="4"/>
      <c r="F61" s="4"/>
    </row>
    <row r="62" spans="2:18" x14ac:dyDescent="0.25">
      <c r="B62" s="12" t="s">
        <v>286</v>
      </c>
      <c r="C62" s="12" t="s">
        <v>287</v>
      </c>
      <c r="D62" s="12" t="s">
        <v>288</v>
      </c>
      <c r="E62" s="12" t="s">
        <v>289</v>
      </c>
    </row>
    <row r="63" spans="2:18" x14ac:dyDescent="0.25">
      <c r="B63" s="57">
        <f>$C$13</f>
        <v>10</v>
      </c>
      <c r="C63" s="58">
        <f>L58</f>
        <v>743.38434999999993</v>
      </c>
      <c r="D63" s="59">
        <f>C63/B63</f>
        <v>74.33843499999999</v>
      </c>
      <c r="E63" s="38" t="s">
        <v>290</v>
      </c>
    </row>
    <row r="64" spans="2:18" x14ac:dyDescent="0.25">
      <c r="B64" s="57">
        <f>$C$14</f>
        <v>100</v>
      </c>
      <c r="C64" s="58">
        <f>O58</f>
        <v>6114.0820000000003</v>
      </c>
      <c r="D64" s="59">
        <f>C64/B64</f>
        <v>61.140820000000005</v>
      </c>
      <c r="E64" s="60">
        <f>D64/$D$63-1</f>
        <v>-0.17753420555598176</v>
      </c>
    </row>
    <row r="65" spans="2:6" x14ac:dyDescent="0.25">
      <c r="B65" s="57">
        <f>$C$15</f>
        <v>1000</v>
      </c>
      <c r="C65" s="58">
        <f>R58</f>
        <v>48391.255000000005</v>
      </c>
      <c r="D65" s="59">
        <f>C65/B65</f>
        <v>48.391255000000008</v>
      </c>
      <c r="E65" s="60">
        <f>D65/$D$63-1</f>
        <v>-0.34904124629473277</v>
      </c>
    </row>
    <row r="68" spans="2:6" x14ac:dyDescent="0.25">
      <c r="B68" s="4" t="s">
        <v>291</v>
      </c>
      <c r="C68" s="4"/>
      <c r="D68" s="4"/>
      <c r="E68" s="4"/>
      <c r="F68" s="4"/>
    </row>
    <row r="69" spans="2:6" x14ac:dyDescent="0.25">
      <c r="B69" s="13" t="s">
        <v>292</v>
      </c>
      <c r="C69" s="29">
        <f>COUNTIF(F19:F56,"Real")</f>
        <v>38</v>
      </c>
    </row>
    <row r="70" spans="2:6" x14ac:dyDescent="0.25">
      <c r="B70" s="13" t="s">
        <v>293</v>
      </c>
      <c r="C70" s="29">
        <f>COUNTIF(F19:F56,"Estimado")</f>
        <v>0</v>
      </c>
    </row>
    <row r="71" spans="2:6" x14ac:dyDescent="0.25">
      <c r="B71" s="13" t="s">
        <v>294</v>
      </c>
      <c r="C71" s="29">
        <f>SUMIF(F19:F56,"Real",E19:E56)</f>
        <v>125</v>
      </c>
    </row>
    <row r="72" spans="2:6" x14ac:dyDescent="0.25">
      <c r="B72" s="13" t="s">
        <v>295</v>
      </c>
      <c r="C72" s="29">
        <f>SUMIF(F19:F56,"Estimado",E19:E56)</f>
        <v>0</v>
      </c>
    </row>
    <row r="73" spans="2:6" x14ac:dyDescent="0.25">
      <c r="B73" s="13" t="s">
        <v>296</v>
      </c>
      <c r="C73" s="59">
        <f>SUMIF(F19:F56,"Real",I19:I56)</f>
        <v>87.984099999999998</v>
      </c>
    </row>
    <row r="74" spans="2:6" x14ac:dyDescent="0.25">
      <c r="B74" s="13" t="s">
        <v>297</v>
      </c>
      <c r="C74" s="59">
        <f>SUMIF(F19:F56,"Estimado",I19:I56)</f>
        <v>0</v>
      </c>
    </row>
    <row r="75" spans="2:6" x14ac:dyDescent="0.25">
      <c r="B75" s="13" t="s">
        <v>298</v>
      </c>
      <c r="C75" s="60">
        <f>SUMIF(F19:F56,"Estimado",I19:I56)/I58</f>
        <v>0</v>
      </c>
    </row>
    <row r="77" spans="2:6" ht="39.75" customHeight="1" x14ac:dyDescent="0.25">
      <c r="B77" s="27" t="s">
        <v>299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Leyenda</vt:lpstr>
      <vt:lpstr>Calculos</vt:lpstr>
      <vt:lpstr>Restricciones</vt:lpstr>
      <vt:lpstr>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ALBERTO ARDILA PAEZ</cp:lastModifiedBy>
  <cp:revision>0</cp:revision>
  <dcterms:created xsi:type="dcterms:W3CDTF">2026-10-27T03:28:49Z</dcterms:created>
  <dcterms:modified xsi:type="dcterms:W3CDTF">2026-10-27T03:41:52Z</dcterms:modified>
  <dc:language>en-US</dc:language>
</cp:coreProperties>
</file>