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Orbita" sheetId="2" state="visible" r:id="rId4"/>
    <sheet name="Camara_Datos" sheetId="3" state="visible" r:id="rId5"/>
    <sheet name="Enlaces" sheetId="4" state="visible" r:id="rId6"/>
    <sheet name="Potencia_Masa" sheetId="5" state="visible" r:id="rId7"/>
    <sheet name="Procesamiento" sheetId="6" state="visible" r:id="rId8"/>
    <sheet name="Matrices" sheetId="7" state="visible" r:id="rId9"/>
    <sheet name="Requisitos" sheetId="8" state="visible" r:id="rId10"/>
    <sheet name="Especificaciones" sheetId="9" state="visible" r:id="rId11"/>
    <sheet name="Trazabilidad" sheetId="10" state="visible" r:id="rId12"/>
    <sheet name="Interfaces" sheetId="11" state="visible" r:id="rId13"/>
    <sheet name="TBD_Riesgos" sheetId="12" state="visible" r:id="rId14"/>
    <sheet name="Componentes" sheetId="13" state="visible" r:id="rId15"/>
    <sheet name="Hallazgos_Componentes" sheetId="14" state="visible" r:id="rId16"/>
  </sheets>
  <definedNames>
    <definedName function="false" hidden="true" localSheetId="12" name="_xlnm._FilterDatabase" vbProcedure="false">Componentes!$A$4:$O$57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<sst xmlns="http://schemas.openxmlformats.org/spreadsheetml/2006/main" count="2428" uniqueCount="1680">
  <si>
    <t xml:space="preserve">CubeSat UD34 – Práctica 3: matrices, comparaciones y presupuestos</t>
  </si>
  <si>
    <t xml:space="preserve">Luis Alberto Ardila Páez · Daniel Esteban Tirado Rojas · Universidad de Antioquia · 2026-2</t>
  </si>
  <si>
    <t xml:space="preserve">Convenciones</t>
  </si>
  <si>
    <t xml:space="preserve">3,45</t>
  </si>
  <si>
    <t xml:space="preserve">Entrada editable (azul, fondo amarillo): supuestos y datos de componentes. Si cambian un componente, editen solo estas celdas.</t>
  </si>
  <si>
    <t xml:space="preserve">54,2</t>
  </si>
  <si>
    <t xml:space="preserve">Fórmula (negro): se recalcula sola. No escribir encima.</t>
  </si>
  <si>
    <t xml:space="preserve">1294</t>
  </si>
  <si>
    <t xml:space="preserve">Vínculo a otra hoja (verde).</t>
  </si>
  <si>
    <t xml:space="preserve">Total</t>
  </si>
  <si>
    <t xml:space="preserve">Resultado clave que se reporta en el informe.</t>
  </si>
  <si>
    <t xml:space="preserve">Hojas</t>
  </si>
  <si>
    <t xml:space="preserve">Orbita</t>
  </si>
  <si>
    <t xml:space="preserve">Órbita de referencia, distancias a la estación, pases y oportunidades de captura.</t>
  </si>
  <si>
    <t xml:space="preserve">Camara_Datos</t>
  </si>
  <si>
    <t xml:space="preserve">GSD, barrido, cuadros por escena, volumen de datos, almacenamiento y capacidad de bajada.</t>
  </si>
  <si>
    <t xml:space="preserve">Enlaces</t>
  </si>
  <si>
    <t xml:space="preserve">Presupuestos de enlace UHF bajada, banda S bajada y UHF subida.</t>
  </si>
  <si>
    <t xml:space="preserve">Potencia_Masa</t>
  </si>
  <si>
    <t xml:space="preserve">Generación solar, consumo diario, margen, batería, masa, centro de masa y altura de pila.</t>
  </si>
  <si>
    <t xml:space="preserve">Procesamiento</t>
  </si>
  <si>
    <t xml:space="preserve">Carga estimada de CPU y memoria.</t>
  </si>
  <si>
    <t xml:space="preserve">Matrices</t>
  </si>
  <si>
    <t xml:space="preserve">Pesos de criterios y matrices de decisión ponderadas D1–D8.</t>
  </si>
  <si>
    <t xml:space="preserve">Requisitos</t>
  </si>
  <si>
    <t xml:space="preserve">Matriz de requisitos (RF, RNF, RA, RN) con origen, prioridad y criterio de aceptación.</t>
  </si>
  <si>
    <t xml:space="preserve">Especificaciones</t>
  </si>
  <si>
    <t xml:space="preserve">Especificaciones técnicas ET-01 a ET-40 con requisitos asociados y fundamento.</t>
  </si>
  <si>
    <t xml:space="preserve">Trazabilidad</t>
  </si>
  <si>
    <t xml:space="preserve">Requisito → especificación → elemento de arquitectura → verificación.</t>
  </si>
  <si>
    <t xml:space="preserve">Interfaces</t>
  </si>
  <si>
    <t xml:space="preserve">Interfaces IF-01 a IF-18.</t>
  </si>
  <si>
    <t xml:space="preserve">TBD_Riesgos</t>
  </si>
  <si>
    <t xml:space="preserve">Valores por determinar con plan de cierre y registro de riesgos.</t>
  </si>
  <si>
    <t xml:space="preserve">Componentes</t>
  </si>
  <si>
    <t xml:space="preserve">Componentes candidatos por tarjeta con fabricante, referencia y enlace a la hoja de datos; la hoja Hallazgos_Componentes recoge lo que cambia al elegirlos.</t>
  </si>
  <si>
    <t xml:space="preserve">Nota</t>
  </si>
  <si>
    <t xml:space="preserve">Consumos y masas son estimaciones de orden de magnitud (rangos típicos de CubeSat, NASA State-of-the-Art of Small Spacecraft Technology). Se reemplazan por valores de hoja de datos en la Práctica 4; los presupuestos se actualizan solos.</t>
  </si>
  <si>
    <t xml:space="preserve">Órbita de referencia y geometría de contacto</t>
  </si>
  <si>
    <t xml:space="preserve">Relaciones de Wertz &amp; Larson, SMAD (3.ª ed.).</t>
  </si>
  <si>
    <t xml:space="preserve">Parámetro</t>
  </si>
  <si>
    <t xml:space="preserve">Valor</t>
  </si>
  <si>
    <t xml:space="preserve">Unidad</t>
  </si>
  <si>
    <t xml:space="preserve">Nota / fuente</t>
  </si>
  <si>
    <t xml:space="preserve">Radio terrestre R_E</t>
  </si>
  <si>
    <t xml:space="preserve">km</t>
  </si>
  <si>
    <t xml:space="preserve">Radio ecuatorial.</t>
  </si>
  <si>
    <t xml:space="preserve">Altitud h</t>
  </si>
  <si>
    <t xml:space="preserve">Enunciado.</t>
  </si>
  <si>
    <t xml:space="preserve">Parámetro gravitacional μ</t>
  </si>
  <si>
    <t xml:space="preserve">km³/s²</t>
  </si>
  <si>
    <t xml:space="preserve">Semieje mayor a</t>
  </si>
  <si>
    <t xml:space="preserve">a = R_E + h</t>
  </si>
  <si>
    <t xml:space="preserve">Periodo orbital T</t>
  </si>
  <si>
    <t xml:space="preserve">s</t>
  </si>
  <si>
    <t xml:space="preserve">T = 2π√(a³/μ)</t>
  </si>
  <si>
    <t xml:space="preserve">min</t>
  </si>
  <si>
    <t xml:space="preserve">Órbitas por día</t>
  </si>
  <si>
    <t xml:space="preserve">–</t>
  </si>
  <si>
    <t xml:space="preserve">Velocidad orbital v</t>
  </si>
  <si>
    <t xml:space="preserve">km/s</t>
  </si>
  <si>
    <t xml:space="preserve">v = √(μ/a)</t>
  </si>
  <si>
    <t xml:space="preserve">Velocidad de la traza en tierra</t>
  </si>
  <si>
    <t xml:space="preserve">Sin rotación terrestre.</t>
  </si>
  <si>
    <t xml:space="preserve">Radio angular de la Tierra ρ</t>
  </si>
  <si>
    <t xml:space="preserve">°</t>
  </si>
  <si>
    <t xml:space="preserve">sin ρ = R_E/a</t>
  </si>
  <si>
    <t xml:space="preserve">Eclipse máximo (β = 0)</t>
  </si>
  <si>
    <t xml:space="preserve">Peor caso.</t>
  </si>
  <si>
    <t xml:space="preserve">Fracción iluminada (peor caso)</t>
  </si>
  <si>
    <t xml:space="preserve">Separación entre trazas en el ecuador</t>
  </si>
  <si>
    <t xml:space="preserve">Circunferencia / órbitas por día.</t>
  </si>
  <si>
    <t xml:space="preserve">Geometría de contacto con Medellín</t>
  </si>
  <si>
    <t xml:space="preserve">UHF</t>
  </si>
  <si>
    <t xml:space="preserve">Banda S</t>
  </si>
  <si>
    <t xml:space="preserve">Elevación mínima ε (°)</t>
  </si>
  <si>
    <t xml:space="preserve">S-03: en banda S se exige 20° por margen y por las laderas del valle de Aburrá.</t>
  </si>
  <si>
    <t xml:space="preserve">Ángulo nadir η (°)</t>
  </si>
  <si>
    <t xml:space="preserve">sin η = (R_E/a)·cos ε</t>
  </si>
  <si>
    <t xml:space="preserve">Ángulo central λ (°)</t>
  </si>
  <si>
    <t xml:space="preserve">λ = 90° − ε − η</t>
  </si>
  <si>
    <t xml:space="preserve">Distancia máxima D (km)</t>
  </si>
  <si>
    <t xml:space="preserve">D = R_E·sin λ / sin η. Alimenta la hoja Enlaces.</t>
  </si>
  <si>
    <t xml:space="preserve">Radio del círculo de visibilidad (km)</t>
  </si>
  <si>
    <t xml:space="preserve">Pases por día (estimación geométrica)</t>
  </si>
  <si>
    <t xml:space="preserve">Trazas ascendentes + descendentes: ancho de acceso / separación.</t>
  </si>
  <si>
    <t xml:space="preserve">Duración máxima de pase (s)</t>
  </si>
  <si>
    <t xml:space="preserve">Pase cenital.</t>
  </si>
  <si>
    <t xml:space="preserve">Duración media de pase (s)</t>
  </si>
  <si>
    <t xml:space="preserve">Cuerda media = π/4 del diámetro.</t>
  </si>
  <si>
    <t xml:space="preserve">Pases por día usados en el diseño</t>
  </si>
  <si>
    <t xml:space="preserve">Conservador frente a la estimación geométrica (TBD-01).</t>
  </si>
  <si>
    <t xml:space="preserve">Duración útil usada (s)</t>
  </si>
  <si>
    <t xml:space="preserve">Conservador (TBD-01).</t>
  </si>
  <si>
    <t xml:space="preserve">Tiempo de contacto diario (s)</t>
  </si>
  <si>
    <t xml:space="preserve">Oportunidades de captura sobre zonas cafeteras</t>
  </si>
  <si>
    <t xml:space="preserve">Inclinación máxima fuera de nadir</t>
  </si>
  <si>
    <t xml:space="preserve">RF-21.</t>
  </si>
  <si>
    <t xml:space="preserve">Ancho este–oeste de la franja cafetera</t>
  </si>
  <si>
    <t xml:space="preserve">S-12, estimación sobre mapa.</t>
  </si>
  <si>
    <t xml:space="preserve">Elevación del satélite vista desde el objetivo</t>
  </si>
  <si>
    <t xml:space="preserve">cos ε = sin η · a/R_E</t>
  </si>
  <si>
    <t xml:space="preserve">Ángulo central a la inclinación máxima</t>
  </si>
  <si>
    <t xml:space="preserve">Desplazamiento lateral en tierra</t>
  </si>
  <si>
    <t xml:space="preserve">Distancia oblicua a la inclinación máxima</t>
  </si>
  <si>
    <t xml:space="preserve">Se usa para la GSD fuera de nadir.</t>
  </si>
  <si>
    <t xml:space="preserve">Ancho de barrido</t>
  </si>
  <si>
    <t xml:space="preserve">Viene de Camara_Datos.</t>
  </si>
  <si>
    <t xml:space="preserve">Ancho accesible</t>
  </si>
  <si>
    <t xml:space="preserve">Franja + barrido + 2 × desplazamiento.</t>
  </si>
  <si>
    <t xml:space="preserve">Oportunidades diurnas por día</t>
  </si>
  <si>
    <t xml:space="preserve">1/día</t>
  </si>
  <si>
    <t xml:space="preserve">Solo una dirección de traza es diurna (nodo 10:30).</t>
  </si>
  <si>
    <t xml:space="preserve">Oportunidades por semana (máximo)</t>
  </si>
  <si>
    <t xml:space="preserve">1/semana</t>
  </si>
  <si>
    <t xml:space="preserve">Máximo geométrico; el diseño usa 3,5/semana para quedar del lado seguro.</t>
  </si>
  <si>
    <t xml:space="preserve">Carga útil, volumen de datos y almacenamiento</t>
  </si>
  <si>
    <t xml:space="preserve">Diseño de referencia: sensor monocromático + filtro de 4 franjas (push-frame).</t>
  </si>
  <si>
    <t xml:space="preserve">Tamaño de píxel p</t>
  </si>
  <si>
    <t xml:space="preserve">µm</t>
  </si>
  <si>
    <t xml:space="preserve">Diseño de referencia (definir sensor en P4).</t>
  </si>
  <si>
    <t xml:space="preserve">Distancia focal f</t>
  </si>
  <si>
    <t xml:space="preserve">mm</t>
  </si>
  <si>
    <t xml:space="preserve">Lente comercial (S-08).</t>
  </si>
  <si>
    <t xml:space="preserve">Píxeles por lado (ventana usada)</t>
  </si>
  <si>
    <t xml:space="preserve">px</t>
  </si>
  <si>
    <t xml:space="preserve">Profundidad de bits</t>
  </si>
  <si>
    <t xml:space="preserve">bit</t>
  </si>
  <si>
    <t xml:space="preserve">ET-04.</t>
  </si>
  <si>
    <t xml:space="preserve">Número de franjas (bandas)</t>
  </si>
  <si>
    <t xml:space="preserve">RF-01.</t>
  </si>
  <si>
    <t xml:space="preserve">GSD en nadir</t>
  </si>
  <si>
    <t xml:space="preserve">m</t>
  </si>
  <si>
    <t xml:space="preserve">GSD = p·h/f. Límite 60 m (ET-02).</t>
  </si>
  <si>
    <t xml:space="preserve">GSD a lo largo de la traza a la inclinación máxima</t>
  </si>
  <si>
    <t xml:space="preserve">Escala con la distancia oblicua.</t>
  </si>
  <si>
    <t xml:space="preserve">GSD a lo ancho de la traza a la inclinación máxima</t>
  </si>
  <si>
    <t xml:space="preserve">Proyección sobre el terreno. Límite 80 m.</t>
  </si>
  <si>
    <t xml:space="preserve">Límite ≥ 80 km (ET-03).</t>
  </si>
  <si>
    <t xml:space="preserve">Longitud de cada franja en tierra</t>
  </si>
  <si>
    <t xml:space="preserve">Intervalo máximo entre cuadros</t>
  </si>
  <si>
    <t xml:space="preserve">Para no dejar huecos en ninguna banda (ET-06).</t>
  </si>
  <si>
    <t xml:space="preserve">Intervalo nominal entre cuadros</t>
  </si>
  <si>
    <t xml:space="preserve">Debe ser menor que el máximo.</t>
  </si>
  <si>
    <t xml:space="preserve">Avance entre cuadros</t>
  </si>
  <si>
    <t xml:space="preserve">Tiempo de exposición máximo</t>
  </si>
  <si>
    <t xml:space="preserve">ms</t>
  </si>
  <si>
    <t xml:space="preserve">ET-05.</t>
  </si>
  <si>
    <t xml:space="preserve">Borrosidad por movimiento</t>
  </si>
  <si>
    <t xml:space="preserve">píxeles</t>
  </si>
  <si>
    <t xml:space="preserve">Debe ser &lt; 0,5 píxel.</t>
  </si>
  <si>
    <t xml:space="preserve">Volumen por escena</t>
  </si>
  <si>
    <t xml:space="preserve">Longitud de escena</t>
  </si>
  <si>
    <t xml:space="preserve">RNF-04.</t>
  </si>
  <si>
    <t xml:space="preserve">Cuadros por escena</t>
  </si>
  <si>
    <t xml:space="preserve">Cubrir la escena con las 4 franjas.</t>
  </si>
  <si>
    <t xml:space="preserve">Tamaño de un cuadro</t>
  </si>
  <si>
    <t xml:space="preserve">MB</t>
  </si>
  <si>
    <t xml:space="preserve">Escena sin comprimir</t>
  </si>
  <si>
    <t xml:space="preserve">Razón de compresión sin pérdidas</t>
  </si>
  <si>
    <t xml:space="preserve">:1</t>
  </si>
  <si>
    <t xml:space="preserve">TBD-02 (CCSDS 123).</t>
  </si>
  <si>
    <t xml:space="preserve">Escena comprimida</t>
  </si>
  <si>
    <t xml:space="preserve">Factor de reducción de vistas previas</t>
  </si>
  <si>
    <t xml:space="preserve">×</t>
  </si>
  <si>
    <t xml:space="preserve">Reducción 8 × 8.</t>
  </si>
  <si>
    <t xml:space="preserve">Vista previa por escena</t>
  </si>
  <si>
    <t xml:space="preserve">Metadatos por escena</t>
  </si>
  <si>
    <t xml:space="preserve">kB</t>
  </si>
  <si>
    <t xml:space="preserve">≈1 kB por cuadro.</t>
  </si>
  <si>
    <t xml:space="preserve">Tasa de lectura cámara → OBC requerida</t>
  </si>
  <si>
    <t xml:space="preserve">Mpx/s</t>
  </si>
  <si>
    <t xml:space="preserve">Cuadro en &lt; 0,5 s. ET-08 pide ≥ 10.</t>
  </si>
  <si>
    <t xml:space="preserve">RAM para dos cuadros</t>
  </si>
  <si>
    <t xml:space="preserve">ET-09: ≥ 16 MB; se propone 32 MB.</t>
  </si>
  <si>
    <t xml:space="preserve">Tasa de escritura sostenida</t>
  </si>
  <si>
    <t xml:space="preserve">MB/s</t>
  </si>
  <si>
    <t xml:space="preserve">ET-11 pide ≥ 4 MB/s (margen ×2).</t>
  </si>
  <si>
    <t xml:space="preserve">Operación y volumen diario</t>
  </si>
  <si>
    <t xml:space="preserve">Escenas por semana (dimensionamiento)</t>
  </si>
  <si>
    <t xml:space="preserve">Algo por encima del máximo de Orbita (lado seguro).</t>
  </si>
  <si>
    <t xml:space="preserve">Duración de la misión</t>
  </si>
  <si>
    <t xml:space="preserve">días</t>
  </si>
  <si>
    <t xml:space="preserve">≈ 6 meses.</t>
  </si>
  <si>
    <t xml:space="preserve">Escenas en toda la misión</t>
  </si>
  <si>
    <t xml:space="preserve">Tamaño de una muestra de telemetría</t>
  </si>
  <si>
    <t xml:space="preserve">B</t>
  </si>
  <si>
    <t xml:space="preserve">Periodo de muestreo de telemetría</t>
  </si>
  <si>
    <t xml:space="preserve">ET-14.</t>
  </si>
  <si>
    <t xml:space="preserve">Telemetría diaria</t>
  </si>
  <si>
    <t xml:space="preserve">MB/día</t>
  </si>
  <si>
    <t xml:space="preserve">Imágenes comprimidas por día</t>
  </si>
  <si>
    <t xml:space="preserve">Volumen diario a bajar por banda S</t>
  </si>
  <si>
    <t xml:space="preserve">Imágenes + vistas previas + telemetría.</t>
  </si>
  <si>
    <t xml:space="preserve">Volumen diario si no se comprime</t>
  </si>
  <si>
    <t xml:space="preserve">Capacidad de bajada</t>
  </si>
  <si>
    <t xml:space="preserve">Tasa del enlace de banda S</t>
  </si>
  <si>
    <t xml:space="preserve">Mbit/s</t>
  </si>
  <si>
    <t xml:space="preserve">ET-19.</t>
  </si>
  <si>
    <t xml:space="preserve">Eficiencia de protocolo</t>
  </si>
  <si>
    <t xml:space="preserve">Encabezados, codificación de paquetes y reintentos.</t>
  </si>
  <si>
    <t xml:space="preserve">Capacidad diaria de bajada</t>
  </si>
  <si>
    <t xml:space="preserve">Relación capacidad / volumen</t>
  </si>
  <si>
    <t xml:space="preserve">RNF-06 pide ≥ 2.</t>
  </si>
  <si>
    <t xml:space="preserve">Relación sin compresión</t>
  </si>
  <si>
    <t xml:space="preserve">Compresión mínima para cumplir RNF-06</t>
  </si>
  <si>
    <t xml:space="preserve">Se declara en TBD-02.</t>
  </si>
  <si>
    <t xml:space="preserve">Tasa mínima durante los pases</t>
  </si>
  <si>
    <t xml:space="preserve">Almacenamiento</t>
  </si>
  <si>
    <t xml:space="preserve">Escenas crudas en buffer</t>
  </si>
  <si>
    <t xml:space="preserve">RNF-05.</t>
  </si>
  <si>
    <t xml:space="preserve">Escenas crudas</t>
  </si>
  <si>
    <t xml:space="preserve">GB</t>
  </si>
  <si>
    <t xml:space="preserve">Escenas comprimidas</t>
  </si>
  <si>
    <t xml:space="preserve">Vistas previas</t>
  </si>
  <si>
    <t xml:space="preserve">Días de telemetría retenidos</t>
  </si>
  <si>
    <t xml:space="preserve">Telemetría</t>
  </si>
  <si>
    <t xml:space="preserve">Software y cola de comandos</t>
  </si>
  <si>
    <t xml:space="preserve">2 ranuras de 2 MB + cola.</t>
  </si>
  <si>
    <t xml:space="preserve">Total requerido</t>
  </si>
  <si>
    <t xml:space="preserve">ET-10 pide ≥ 2 GB.</t>
  </si>
  <si>
    <t xml:space="preserve">Presupuestos de enlace</t>
  </si>
  <si>
    <t xml:space="preserve">C/N0 = PIRE − L_el − L_otras + G/T + 228,6 dB</t>
  </si>
  <si>
    <t xml:space="preserve">UHF bajada</t>
  </si>
  <si>
    <t xml:space="preserve">S bajada</t>
  </si>
  <si>
    <t xml:space="preserve">UHF subida</t>
  </si>
  <si>
    <t xml:space="preserve">Frecuencia (MHz)</t>
  </si>
  <si>
    <t xml:space="preserve">UHF 435–438 MHz; S 2200–2290 MHz.</t>
  </si>
  <si>
    <t xml:space="preserve">Distancia (km)</t>
  </si>
  <si>
    <t xml:space="preserve">Desde Orbita (elevación mínima de cada enlace).</t>
  </si>
  <si>
    <t xml:space="preserve">Potencia TX (W)</t>
  </si>
  <si>
    <t xml:space="preserve">Satélite 1 W; estación 25 W.</t>
  </si>
  <si>
    <t xml:space="preserve">Potencia TX (dBW)</t>
  </si>
  <si>
    <t xml:space="preserve">Pérdidas de línea TX (dB)</t>
  </si>
  <si>
    <t xml:space="preserve">Ganancia antena TX (dBi)</t>
  </si>
  <si>
    <t xml:space="preserve">Parche S a ~60° de su eje si el satélite apunta a nadir.</t>
  </si>
  <si>
    <t xml:space="preserve">PIRE (dBW)</t>
  </si>
  <si>
    <t xml:space="preserve">Pérdida por espacio libre (dB)</t>
  </si>
  <si>
    <t xml:space="preserve">FSPL = 32,45 + 20log f[MHz] + 20log d[km]</t>
  </si>
  <si>
    <t xml:space="preserve">Polarización, atmósfera y apuntamiento (dB)</t>
  </si>
  <si>
    <t xml:space="preserve">Incluye 3 dB de polarización lineal–circular en UHF.</t>
  </si>
  <si>
    <t xml:space="preserve">Diámetro de parábola de la estación (m)</t>
  </si>
  <si>
    <t xml:space="preserve">S-02.</t>
  </si>
  <si>
    <t xml:space="preserve">Eficiencia de apertura</t>
  </si>
  <si>
    <t xml:space="preserve">Ganancia antena RX (dBi)</t>
  </si>
  <si>
    <t xml:space="preserve">UHF: Yagi cruzada 14 dBi; S: parábola; subida: antena del satélite.</t>
  </si>
  <si>
    <t xml:space="preserve">Pérdidas de línea RX (dB)</t>
  </si>
  <si>
    <t xml:space="preserve">Temperatura de ruido del sistema (K)</t>
  </si>
  <si>
    <t xml:space="preserve">UHF urbano 600 K; S 200 K; satélite mira a la Tierra.</t>
  </si>
  <si>
    <t xml:space="preserve">G/T del receptor (dB/K)</t>
  </si>
  <si>
    <t xml:space="preserve">C/N0 (dBHz)</t>
  </si>
  <si>
    <t xml:space="preserve">Tasa de datos (kbit/s)</t>
  </si>
  <si>
    <t xml:space="preserve">La tasa de S viene de Camara_Datos.</t>
  </si>
  <si>
    <t xml:space="preserve">Eb/N0 disponible (dB)</t>
  </si>
  <si>
    <t xml:space="preserve">Eb/N0 requerido + pérdidas de implementación (dB)</t>
  </si>
  <si>
    <t xml:space="preserve">GFSK no coherente BER 1e-5; S: QPSK + convolucional r=1/2 (5 dB) + 2 dB.</t>
  </si>
  <si>
    <t xml:space="preserve">Margen (dB)</t>
  </si>
  <si>
    <t xml:space="preserve">RNF-07 exige ≥ 3 dB.</t>
  </si>
  <si>
    <t xml:space="preserve">¿Cumple RNF-07?</t>
  </si>
  <si>
    <t xml:space="preserve">Capacidad UHF diaria</t>
  </si>
  <si>
    <t xml:space="preserve">Tiempo de contacto UHF (s/día)</t>
  </si>
  <si>
    <t xml:space="preserve">Volumen UHF útil (kB/día, eficiencia 60 %)</t>
  </si>
  <si>
    <t xml:space="preserve">Muy por debajo de lo que generan las imágenes: por eso se necesita banda S.</t>
  </si>
  <si>
    <t xml:space="preserve">Presupuesto de potencia, energía, batería, masa y volumen</t>
  </si>
  <si>
    <t xml:space="preserve">Área de celda</t>
  </si>
  <si>
    <t xml:space="preserve">cm²</t>
  </si>
  <si>
    <t xml:space="preserve">Celda triple unión típica ~40×80 mm.</t>
  </si>
  <si>
    <t xml:space="preserve">Eficiencia de celda (BOL)</t>
  </si>
  <si>
    <t xml:space="preserve">Conservador para GaAs triple unión.</t>
  </si>
  <si>
    <t xml:space="preserve">Constante solar</t>
  </si>
  <si>
    <t xml:space="preserve">W/m²</t>
  </si>
  <si>
    <t xml:space="preserve">Potencia por celda</t>
  </si>
  <si>
    <t xml:space="preserve">W</t>
  </si>
  <si>
    <t xml:space="preserve">Factor por temperatura</t>
  </si>
  <si>
    <t xml:space="preserve">Factor por degradación (6 meses)</t>
  </si>
  <si>
    <t xml:space="preserve">Eficiencia MPPT</t>
  </si>
  <si>
    <t xml:space="preserve">Factor de cableado y empaque</t>
  </si>
  <si>
    <t xml:space="preserve">Celdas por cara</t>
  </si>
  <si>
    <t xml:space="preserve">Potencia útil por cara a incidencia normal</t>
  </si>
  <si>
    <t xml:space="preserve">Caras equivalentes en apuntamiento solar (esquina)</t>
  </si>
  <si>
    <t xml:space="preserve">Tres caras a 54,7°.</t>
  </si>
  <si>
    <t xml:space="preserve">Factor por error de apuntamiento</t>
  </si>
  <si>
    <t xml:space="preserve">Apuntamiento solar con magnetorquers.</t>
  </si>
  <si>
    <t xml:space="preserve">Potencia en luz solar</t>
  </si>
  <si>
    <t xml:space="preserve">Potencia media orbital</t>
  </si>
  <si>
    <t xml:space="preserve">ET-22 pide ≥ 1,80 W.</t>
  </si>
  <si>
    <t xml:space="preserve">Pérdida por modos de apuntamiento a la Tierra</t>
  </si>
  <si>
    <t xml:space="preserve">Wh/día</t>
  </si>
  <si>
    <t xml:space="preserve">Adquisiciones y pases.</t>
  </si>
  <si>
    <t xml:space="preserve">Energía generada por día</t>
  </si>
  <si>
    <t xml:space="preserve">Consumo por subsistema</t>
  </si>
  <si>
    <t xml:space="preserve">Subsistema</t>
  </si>
  <si>
    <t xml:space="preserve">P nominal (W)</t>
  </si>
  <si>
    <t xml:space="preserve">P máxima (W)</t>
  </si>
  <si>
    <t xml:space="preserve">Ciclo de actividad</t>
  </si>
  <si>
    <t xml:space="preserve">Energía (Wh/día)</t>
  </si>
  <si>
    <t xml:space="preserve">Masa (kg)</t>
  </si>
  <si>
    <t xml:space="preserve">Volumen asignado</t>
  </si>
  <si>
    <t xml:space="preserve">Fuente de la estimación</t>
  </si>
  <si>
    <t xml:space="preserve">OBC: MCU, SDRAM, almacenamiento</t>
  </si>
  <si>
    <t xml:space="preserve">PCB-2, 12 mm</t>
  </si>
  <si>
    <t xml:space="preserve">Hojas de datos típicas Cortex-M7</t>
  </si>
  <si>
    <t xml:space="preserve">Sensores de orientación</t>
  </si>
  <si>
    <t xml:space="preserve">PCB-2 y paneles</t>
  </si>
  <si>
    <t xml:space="preserve">Rangos típicos (NASA SoA)</t>
  </si>
  <si>
    <t xml:space="preserve">Magnetorquers</t>
  </si>
  <si>
    <t xml:space="preserve">Bahía inferior</t>
  </si>
  <si>
    <t xml:space="preserve">3 × 5 V × 30 mA</t>
  </si>
  <si>
    <t xml:space="preserve">Ruedas de reacción</t>
  </si>
  <si>
    <t xml:space="preserve">EPS: control y reposo (incluye 2 celdas 18650)</t>
  </si>
  <si>
    <t xml:space="preserve">PCB-1, 25 mm</t>
  </si>
  <si>
    <t xml:space="preserve">Calefactor de batería</t>
  </si>
  <si>
    <t xml:space="preserve">PCB-1</t>
  </si>
  <si>
    <t xml:space="preserve">Supuesto (TBD-04)</t>
  </si>
  <si>
    <t xml:space="preserve">UHF en recepción</t>
  </si>
  <si>
    <t xml:space="preserve">PCB-3, 15 mm</t>
  </si>
  <si>
    <t xml:space="preserve">Transceptor + LNA + MCU</t>
  </si>
  <si>
    <t xml:space="preserve">UHF en transmisión</t>
  </si>
  <si>
    <t xml:space="preserve">PCB-3</t>
  </si>
  <si>
    <t xml:space="preserve">PA ≈ 50 % de eficiencia</t>
  </si>
  <si>
    <t xml:space="preserve">TX banda S</t>
  </si>
  <si>
    <t xml:space="preserve">Rangos típicos; 10 min/día</t>
  </si>
  <si>
    <t xml:space="preserve">Cámara (sensor + electrónica)</t>
  </si>
  <si>
    <t xml:space="preserve">Bahía inferior, 40 mm</t>
  </si>
  <si>
    <t xml:space="preserve">5 min cada 2 días</t>
  </si>
  <si>
    <t xml:space="preserve">Subtotal de cargas</t>
  </si>
  <si>
    <t xml:space="preserve">Pérdidas de conversión y batería</t>
  </si>
  <si>
    <t xml:space="preserve">Convertidores ≈ 88 %</t>
  </si>
  <si>
    <t xml:space="preserve">Estructura, paneles, antenas, cableado</t>
  </si>
  <si>
    <t xml:space="preserve">Externo</t>
  </si>
  <si>
    <t xml:space="preserve">0,12 + 0,20 + 0,12 + 0,08 kg</t>
  </si>
  <si>
    <t xml:space="preserve">Consumo total</t>
  </si>
  <si>
    <t xml:space="preserve">Consumo medio orbital (W)</t>
  </si>
  <si>
    <t xml:space="preserve">Energía generada (Wh/día)</t>
  </si>
  <si>
    <t xml:space="preserve">Margen de energía</t>
  </si>
  <si>
    <t xml:space="preserve">RNF-08 exige ≥ 20 %.</t>
  </si>
  <si>
    <t xml:space="preserve">¿Cumple RNF-08?</t>
  </si>
  <si>
    <t xml:space="preserve">Batería y peor eclipse</t>
  </si>
  <si>
    <t xml:space="preserve">Cargas básicas en eclipse</t>
  </si>
  <si>
    <t xml:space="preserve">Calefactor encendido todo el eclipse; baliza 1 s cada 30 s.</t>
  </si>
  <si>
    <t xml:space="preserve">Energía de un eclipse normal</t>
  </si>
  <si>
    <t xml:space="preserve">Wh</t>
  </si>
  <si>
    <t xml:space="preserve">Energía extra de un pase nocturno</t>
  </si>
  <si>
    <t xml:space="preserve">Banda S 10 min, ruedas 15 min, UHF TX 4 min.</t>
  </si>
  <si>
    <t xml:space="preserve">Peor eclipse</t>
  </si>
  <si>
    <t xml:space="preserve">Tensión nominal por celda</t>
  </si>
  <si>
    <t xml:space="preserve">V</t>
  </si>
  <si>
    <t xml:space="preserve">Li-ion 18650.</t>
  </si>
  <si>
    <t xml:space="preserve">Capacidad por celda</t>
  </si>
  <si>
    <t xml:space="preserve">Ah</t>
  </si>
  <si>
    <t xml:space="preserve">Verificar con la hoja de datos elegida.</t>
  </si>
  <si>
    <t xml:space="preserve">Celdas en serie (2S)</t>
  </si>
  <si>
    <t xml:space="preserve">Bus 6,0–8,4 V.</t>
  </si>
  <si>
    <t xml:space="preserve">Energía nominal de la batería</t>
  </si>
  <si>
    <t xml:space="preserve">RN-05: ≤ 100 Wh.</t>
  </si>
  <si>
    <t xml:space="preserve">Capacidad al final de la misión</t>
  </si>
  <si>
    <t xml:space="preserve">Energía útil al final de la misión</t>
  </si>
  <si>
    <t xml:space="preserve">Profundidad de descarga, eclipse normal</t>
  </si>
  <si>
    <t xml:space="preserve">Profundidad de descarga, peor caso</t>
  </si>
  <si>
    <t xml:space="preserve">RNF-09 exige ≤ 20 %.</t>
  </si>
  <si>
    <t xml:space="preserve">Capacidad útil mínima para DoD 20 %</t>
  </si>
  <si>
    <t xml:space="preserve">ET-23.</t>
  </si>
  <si>
    <t xml:space="preserve">Corriente pico en el riel de 5 V</t>
  </si>
  <si>
    <t xml:space="preserve">A</t>
  </si>
  <si>
    <t xml:space="preserve">Potencias máximas de TX S + ruedas + cámara. ET-24 pide ≥ 2,5 A.</t>
  </si>
  <si>
    <t xml:space="preserve">Masa, centro de masa y altura de pila</t>
  </si>
  <si>
    <t xml:space="preserve">Elemento</t>
  </si>
  <si>
    <t xml:space="preserve">z centro (mm)</t>
  </si>
  <si>
    <t xml:space="preserve">Momento</t>
  </si>
  <si>
    <t xml:space="preserve">Estructura</t>
  </si>
  <si>
    <t xml:space="preserve">Paneles solares</t>
  </si>
  <si>
    <t xml:space="preserve">Cámara</t>
  </si>
  <si>
    <t xml:space="preserve">Antena de parche S</t>
  </si>
  <si>
    <t xml:space="preserve">PCB-2 OBC</t>
  </si>
  <si>
    <t xml:space="preserve">PCB-1 EPS + batería</t>
  </si>
  <si>
    <t xml:space="preserve">PCB-3 COM</t>
  </si>
  <si>
    <t xml:space="preserve">Antena UHF</t>
  </si>
  <si>
    <t xml:space="preserve">Cableado y tornillería</t>
  </si>
  <si>
    <t xml:space="preserve">Masa estimada</t>
  </si>
  <si>
    <t xml:space="preserve">kg</t>
  </si>
  <si>
    <t xml:space="preserve">Debe coincidir con el total de la tabla de consumo.</t>
  </si>
  <si>
    <t xml:space="preserve">Margen de masa aplicado</t>
  </si>
  <si>
    <t xml:space="preserve">Masa con margen</t>
  </si>
  <si>
    <t xml:space="preserve">RN-02: ≤ 2,00 kg. Objetivo ET-37: ≤ 1,7 kg.</t>
  </si>
  <si>
    <t xml:space="preserve">Altura del centro de masa</t>
  </si>
  <si>
    <t xml:space="preserve">Desplazamiento respecto al centro geométrico</t>
  </si>
  <si>
    <t xml:space="preserve">RN-02: |Δz| &lt; 20 mm.</t>
  </si>
  <si>
    <t xml:space="preserve">Altura bahía inferior (cámara, ruedas, MTQ)</t>
  </si>
  <si>
    <t xml:space="preserve">Altura PCB-2 OBC</t>
  </si>
  <si>
    <t xml:space="preserve">Altura PCB-1 EPS + batería</t>
  </si>
  <si>
    <t xml:space="preserve">18650 acostadas (Ø 18,3 mm).</t>
  </si>
  <si>
    <t xml:space="preserve">Altura PCB-3 COM</t>
  </si>
  <si>
    <t xml:space="preserve">Altura útil de la estructura</t>
  </si>
  <si>
    <t xml:space="preserve">TBD-07.</t>
  </si>
  <si>
    <t xml:space="preserve">Margen de altura</t>
  </si>
  <si>
    <t xml:space="preserve">Riesgo RG-01.</t>
  </si>
  <si>
    <t xml:space="preserve">Carga de procesamiento y memoria</t>
  </si>
  <si>
    <t xml:space="preserve">Frecuencia de referencia del procesador</t>
  </si>
  <si>
    <t xml:space="preserve">MHz</t>
  </si>
  <si>
    <t xml:space="preserve">Mínimo de ET-12.</t>
  </si>
  <si>
    <t xml:space="preserve">Tarea</t>
  </si>
  <si>
    <t xml:space="preserve">Tasa (Hz)</t>
  </si>
  <si>
    <t xml:space="preserve">kciclos por ejecución</t>
  </si>
  <si>
    <t xml:space="preserve">Mciclos/s</t>
  </si>
  <si>
    <t xml:space="preserve">Carga</t>
  </si>
  <si>
    <t xml:space="preserve">Sensores + filtro de actitud</t>
  </si>
  <si>
    <t xml:space="preserve">EKF de orden bajo</t>
  </si>
  <si>
    <t xml:space="preserve">Ley de control</t>
  </si>
  <si>
    <t xml:space="preserve">SGP4 + IGRF + posición del Sol</t>
  </si>
  <si>
    <t xml:space="preserve">Telemetría, comandos, CAN</t>
  </si>
  <si>
    <t xml:space="preserve">Agregado</t>
  </si>
  <si>
    <t xml:space="preserve">Captura y escritura (durante escena)</t>
  </si>
  <si>
    <t xml:space="preserve">Temporal</t>
  </si>
  <si>
    <t xml:space="preserve">Entramado banda S (durante pase)</t>
  </si>
  <si>
    <t xml:space="preserve">2 Mbit/s × 20 ciclos/byte</t>
  </si>
  <si>
    <t xml:space="preserve">Carga continua (primeras 4 tareas)</t>
  </si>
  <si>
    <t xml:space="preserve">Carga pico (todas)</t>
  </si>
  <si>
    <t xml:space="preserve">Compresión fuera de línea</t>
  </si>
  <si>
    <t xml:space="preserve">Ciclos por muestra (CCSDS 123, software)</t>
  </si>
  <si>
    <t xml:space="preserve">ciclos</t>
  </si>
  <si>
    <t xml:space="preserve">Estimación de orden de magnitud.</t>
  </si>
  <si>
    <t xml:space="preserve">Muestras por escena</t>
  </si>
  <si>
    <t xml:space="preserve">muestras</t>
  </si>
  <si>
    <t xml:space="preserve">Tiempo de compresión por escena</t>
  </si>
  <si>
    <t xml:space="preserve">Se hace entre pases.</t>
  </si>
  <si>
    <t xml:space="preserve">Memoria</t>
  </si>
  <si>
    <t xml:space="preserve">RAM externa mínima</t>
  </si>
  <si>
    <t xml:space="preserve">Dos cuadros; se propone 32 MB.</t>
  </si>
  <si>
    <t xml:space="preserve">RAM interna (RTOS, pilas, buffers, filtro)</t>
  </si>
  <si>
    <t xml:space="preserve">Estimación; ≥ 0,5 MB recomendado.</t>
  </si>
  <si>
    <t xml:space="preserve">Programa (por ranura)</t>
  </si>
  <si>
    <t xml:space="preserve">2 ranuras + respaldo en NOR.</t>
  </si>
  <si>
    <t xml:space="preserve">Almacenamiento masivo</t>
  </si>
  <si>
    <t xml:space="preserve">Desde Camara_Datos.</t>
  </si>
  <si>
    <t xml:space="preserve">Criterios, pesos y matrices de decisión</t>
  </si>
  <si>
    <t xml:space="preserve">Calificaciones de 1 (malo) a 5 (muy bueno). Total = SUMPRODUCT(pesos, calificaciones).</t>
  </si>
  <si>
    <t xml:space="preserve">Criterio</t>
  </si>
  <si>
    <t xml:space="preserve">Peso</t>
  </si>
  <si>
    <t xml:space="preserve">Por qué este peso</t>
  </si>
  <si>
    <t xml:space="preserve">C1 Consumo de energía</t>
  </si>
  <si>
    <t xml:space="preserve">El margen de energía es de solo ~23 %.</t>
  </si>
  <si>
    <t xml:space="preserve">C2 Confiabilidad y tolerancia a fallas</t>
  </si>
  <si>
    <t xml:space="preserve">El satélite no se puede reparar.</t>
  </si>
  <si>
    <t xml:space="preserve">C3 Desempeño frente a requisitos</t>
  </si>
  <si>
    <t xml:space="preserve">Hay requisitos de desempeño al límite.</t>
  </si>
  <si>
    <t xml:space="preserve">C4 Volumen y masa</t>
  </si>
  <si>
    <t xml:space="preserve">Quedan pocos milímetros en la pila.</t>
  </si>
  <si>
    <t xml:space="preserve">C5 Complejidad y riesgo técnico</t>
  </si>
  <si>
    <t xml:space="preserve">Tiempo del curso limitado.</t>
  </si>
  <si>
    <t xml:space="preserve">C6 Integración y prueba</t>
  </si>
  <si>
    <t xml:space="preserve">Integración entre tres parejas en P6.</t>
  </si>
  <si>
    <t xml:space="preserve">Suma de pesos</t>
  </si>
  <si>
    <t xml:space="preserve">D1. Organización del procesamiento</t>
  </si>
  <si>
    <t xml:space="preserve">A: centralizado</t>
  </si>
  <si>
    <t xml:space="preserve">B: semidistribuido</t>
  </si>
  <si>
    <t xml:space="preserve">C: distribuido</t>
  </si>
  <si>
    <t xml:space="preserve">Justificación</t>
  </si>
  <si>
    <t xml:space="preserve">Cada MCU supervisor suma ~30 mW; C agrega FPGA.</t>
  </si>
  <si>
    <t xml:space="preserve">En A, si el OBC se cuelga nadie protege la batería ni reinicia.</t>
  </si>
  <si>
    <t xml:space="preserve">Los tres cumplen; C sobra en capacidad.</t>
  </si>
  <si>
    <t xml:space="preserve">C requiere más área de PCB.</t>
  </si>
  <si>
    <t xml:space="preserve">B: protocolos entre MCU; C: además FPGA.</t>
  </si>
  <si>
    <t xml:space="preserve">En B cada tarjeta se prueba sola (RNF-14).</t>
  </si>
  <si>
    <t xml:space="preserve">Total ponderado</t>
  </si>
  <si>
    <t xml:space="preserve">Seleccionada</t>
  </si>
  <si>
    <t xml:space="preserve">D2. Tecnología del OBC</t>
  </si>
  <si>
    <t xml:space="preserve">A: MCU Cortex-M7</t>
  </si>
  <si>
    <t xml:space="preserve">B: Cortex-A con Linux</t>
  </si>
  <si>
    <t xml:space="preserve">C: MCU + FPGA</t>
  </si>
  <si>
    <t xml:space="preserve">Linux consume 1,5–3 W.</t>
  </si>
  <si>
    <t xml:space="preserve">DDR y sistema de archivos más frágiles; arranque largo.</t>
  </si>
  <si>
    <t xml:space="preserve">La carga de CPU es baja (hoja Procesamiento).</t>
  </si>
  <si>
    <t xml:space="preserve">DDR y BGA difíciles de enrutar.</t>
  </si>
  <si>
    <t xml:space="preserve">D3. División en PCBs</t>
  </si>
  <si>
    <t xml:space="preserve">A: 2 PCBs</t>
  </si>
  <si>
    <t xml:space="preserve">B: 4 PCBs</t>
  </si>
  <si>
    <t xml:space="preserve">C: 6 PCBs</t>
  </si>
  <si>
    <t xml:space="preserve">Casi no cambia.</t>
  </si>
  <si>
    <t xml:space="preserve">En A conviven RF, potencia y digital rápido.</t>
  </si>
  <si>
    <t xml:space="preserve">Todas cumplen.</t>
  </si>
  <si>
    <t xml:space="preserve">C no cabe en 96 mm.</t>
  </si>
  <si>
    <t xml:space="preserve">A muy densa; C multiplica conectores.</t>
  </si>
  <si>
    <t xml:space="preserve">Más tarjetas = pruebas por partes.</t>
  </si>
  <si>
    <t xml:space="preserve">D4. Enlaces con tierra</t>
  </si>
  <si>
    <t xml:space="preserve">A: solo banda S</t>
  </si>
  <si>
    <t xml:space="preserve">B: UHF + banda S</t>
  </si>
  <si>
    <t xml:space="preserve">RX en S consume más.</t>
  </si>
  <si>
    <t xml:space="preserve">Sin UHF el telecomando depende de una antena directiva.</t>
  </si>
  <si>
    <t xml:space="preserve">Ambas bajan las imágenes.</t>
  </si>
  <si>
    <t xml:space="preserve">B necesita antena desplegable.</t>
  </si>
  <si>
    <t xml:space="preserve">B: dos radios.</t>
  </si>
  <si>
    <t xml:space="preserve">D5. Orientación</t>
  </si>
  <si>
    <t xml:space="preserve">A: componentes discretos</t>
  </si>
  <si>
    <t xml:space="preserve">B: módulo comercial</t>
  </si>
  <si>
    <t xml:space="preserve">El módulo tiene herencia de vuelo.</t>
  </si>
  <si>
    <t xml:space="preserve">El módulo apunta mejor.</t>
  </si>
  <si>
    <t xml:space="preserve">El módulo ocupa la bahía de la cámara.</t>
  </si>
  <si>
    <t xml:space="preserve">El módulo deja poco que diseñar.</t>
  </si>
  <si>
    <t xml:space="preserve">D6. Arquitectura de potencia</t>
  </si>
  <si>
    <t xml:space="preserve">A: paneles fijos</t>
  </si>
  <si>
    <t xml:space="preserve">B: con alas desplegables</t>
  </si>
  <si>
    <t xml:space="preserve">Las alas generan más.</t>
  </si>
  <si>
    <t xml:space="preserve">Las alas añaden mecanismos.</t>
  </si>
  <si>
    <t xml:space="preserve">A cumple con apuntamiento solar.</t>
  </si>
  <si>
    <t xml:space="preserve">Bisagras y liberación.</t>
  </si>
  <si>
    <t xml:space="preserve">D7. Bus interno</t>
  </si>
  <si>
    <t xml:space="preserve">A: I²C compartido</t>
  </si>
  <si>
    <t xml:space="preserve">B: CAN + enlaces dedicados</t>
  </si>
  <si>
    <t xml:space="preserve">Un esclavo bloqueado tumba el I²C.</t>
  </si>
  <si>
    <t xml:space="preserve">D8. Técnica multiespectral</t>
  </si>
  <si>
    <t xml:space="preserve">A: filtro de franjas</t>
  </si>
  <si>
    <t xml:space="preserve">B: cuatro cámaras</t>
  </si>
  <si>
    <t xml:space="preserve">B: cuatro sensores.</t>
  </si>
  <si>
    <t xml:space="preserve">A exige estabilidad (RNF-11).</t>
  </si>
  <si>
    <t xml:space="preserve">B: cuatro lentes en la bahía.</t>
  </si>
  <si>
    <t xml:space="preserve">A: filtro a medida.</t>
  </si>
  <si>
    <t xml:space="preserve">B: cuatro interfaces de datos.</t>
  </si>
  <si>
    <t xml:space="preserve">Matriz de requisitos y criterios de aceptación</t>
  </si>
  <si>
    <t xml:space="preserve">Copiado del informe; mantener sincronizado.</t>
  </si>
  <si>
    <t xml:space="preserve">ID</t>
  </si>
  <si>
    <t xml:space="preserve">Tipo</t>
  </si>
  <si>
    <t xml:space="preserve">Requisito</t>
  </si>
  <si>
    <t xml:space="preserve">Origen o justificación</t>
  </si>
  <si>
    <t xml:space="preserve">Prioridad</t>
  </si>
  <si>
    <t xml:space="preserve">Criterio de aceptación</t>
  </si>
  <si>
    <t xml:space="preserve">Carga útil y datos de misión</t>
  </si>
  <si>
    <t xml:space="preserve">RF-01</t>
  </si>
  <si>
    <t xml:space="preserve">Func.</t>
  </si>
  <si>
    <t xml:space="preserve">El satélite deberá capturar imágenes de la superficie terrestre en al menos cuatro bandas espectrales, incluyendo una en el rojo y otra en el infrarrojo cercano.</t>
  </si>
  <si>
    <t xml:space="preserve">Misión. El contraste rojo–NIR es la base de los índices de vegetación.</t>
  </si>
  <si>
    <t xml:space="preserve">Alta</t>
  </si>
  <si>
    <t xml:space="preserve">[A, I] Curvas de respuesta de sensor y filtros muestran ≥4 bandas con rojo y NIR (ET-01).</t>
  </si>
  <si>
    <t xml:space="preserve">RF-02</t>
  </si>
  <si>
    <t xml:space="preserve">El satélite deberá ejecutar adquisiciones programadas desde tierra para instantes o coordenadas definidos.</t>
  </si>
  <si>
    <t xml:space="preserve">Misión: las zonas cafeteras son regiones concretas.</t>
  </si>
  <si>
    <t xml:space="preserve">[D] En mesa, un comando con marca de tiempo dispara la captura en el instante programado con error ≤1 s.</t>
  </si>
  <si>
    <t xml:space="preserve">RF-03</t>
  </si>
  <si>
    <t xml:space="preserve">Cada imagen deberá quedar asociada a su hora, posición estimada, actitud y temperatura del sensor.</t>
  </si>
  <si>
    <t xml:space="preserve">Georreferenciación y corrección radiométrica en tierra.</t>
  </si>
  <si>
    <t xml:space="preserve">[I] El formato de archivo contiene los campos; [D] se verifican en una captura de prueba.</t>
  </si>
  <si>
    <t xml:space="preserve">RF-04</t>
  </si>
  <si>
    <t xml:space="preserve">El satélite deberá conservar las imágenes a bordo hasta que tierra confirme su recepción.</t>
  </si>
  <si>
    <t xml:space="preserve">Evitar pérdidas por pases fallidos.</t>
  </si>
  <si>
    <t xml:space="preserve">[D] Ninguna imagen se borra sin el comando de confirmación.</t>
  </si>
  <si>
    <t xml:space="preserve">RF-05</t>
  </si>
  <si>
    <t xml:space="preserve">El satélite deberá transmitir las imágenes a la estación terrena de Medellín.</t>
  </si>
  <si>
    <t xml:space="preserve">[A] Presupuesto de enlace con margen ≥3 dB (ET-21).</t>
  </si>
  <si>
    <t xml:space="preserve">RF-06</t>
  </si>
  <si>
    <t xml:space="preserve">El satélite deberá generar versiones reducidas de las imágenes para que el operador decida cuáles descargar completas.</t>
  </si>
  <si>
    <t xml:space="preserve">La nubosidad en la zona andina es alta; no vale la pena bajar escenas nubladas.</t>
  </si>
  <si>
    <t xml:space="preserve">Media</t>
  </si>
  <si>
    <t xml:space="preserve">[D] El comando de vista previa produce un archivo reducido de la escena indicada.</t>
  </si>
  <si>
    <t xml:space="preserve">Comunicaciones y operación</t>
  </si>
  <si>
    <t xml:space="preserve">RF-07</t>
  </si>
  <si>
    <t xml:space="preserve">El satélite deberá recibir telecomandos desde tierra y ejecutarlos de forma inmediata o programada.</t>
  </si>
  <si>
    <t xml:space="preserve">[A] Margen de subida ≥3 dB; [D] ejecución inmediata y diferida en mesa.</t>
  </si>
  <si>
    <t xml:space="preserve">RF-08</t>
  </si>
  <si>
    <t xml:space="preserve">El satélite deberá transmitir telemetría de tensiones, corrientes, temperaturas, modo de operación y estado de cada subsistema.</t>
  </si>
  <si>
    <t xml:space="preserve">[I] La lista de telemetría cubre todos los subsistemas y líneas de potencia.</t>
  </si>
  <si>
    <t xml:space="preserve">RF-09</t>
  </si>
  <si>
    <t xml:space="preserve">El satélite deberá emitir una baliza periódica con telemetría básica sin necesidad de un comando previo.</t>
  </si>
  <si>
    <t xml:space="preserve">Permite encontrarlo tras el despliegue y operar en modo seguro.</t>
  </si>
  <si>
    <t xml:space="preserve">[D] Baliza cada ≤30 s una vez cumplido RN-04.</t>
  </si>
  <si>
    <t xml:space="preserve">RF-10</t>
  </si>
  <si>
    <t xml:space="preserve">El satélite deberá entrar en un modo seguro ante batería baja o falla de un subsistema, manteniendo la baliza y la recepción de comandos.</t>
  </si>
  <si>
    <t xml:space="preserve">Supervivencia sin intervención de tierra.</t>
  </si>
  <si>
    <t xml:space="preserve">[D] Con tensión de batería simulada bajo el umbral, se apagan las cargas no esenciales y la baliza continúa.</t>
  </si>
  <si>
    <t xml:space="preserve">RF-11</t>
  </si>
  <si>
    <t xml:space="preserve">El satélite deberá detectar el bloqueo del computador central y reiniciarlo de forma autónoma, y tierra deberá poder reiniciarlo aunque este no responda.</t>
  </si>
  <si>
    <t xml:space="preserve">Recuperación de bloqueos por radiación o errores de software.</t>
  </si>
  <si>
    <t xml:space="preserve">[P] Al detener el refresco del watchdog hay reinicio; el comando de reinicio por hardware funciona con el OBC detenido.</t>
  </si>
  <si>
    <t xml:space="preserve">RF-12</t>
  </si>
  <si>
    <t xml:space="preserve">El satélite deberá permitir actualizar parámetros y software de vuelo desde tierra, conservando una versión de respaldo.</t>
  </si>
  <si>
    <t xml:space="preserve">Corregir errores en órbita sin perder el satélite.</t>
  </si>
  <si>
    <t xml:space="preserve">[D] Carga de una versión nueva y retorno automático a la de respaldo si falla.</t>
  </si>
  <si>
    <t xml:space="preserve">RF-13</t>
  </si>
  <si>
    <t xml:space="preserve">Deberá ser posible cargar la batería, programar y diagnosticar los subsistemas con el satélite ensamblado.</t>
  </si>
  <si>
    <t xml:space="preserve">Integración y pruebas (Práctica 6).</t>
  </si>
  <si>
    <t xml:space="preserve">[I] Puerto de acceso alcanzable con la estructura cerrada.</t>
  </si>
  <si>
    <t xml:space="preserve">Potencia</t>
  </si>
  <si>
    <t xml:space="preserve">RF-14</t>
  </si>
  <si>
    <t xml:space="preserve">El satélite deberá generar energía eléctrica a partir de la radiación solar y almacenarla.</t>
  </si>
  <si>
    <t xml:space="preserve">[A] Balance energético (ET-22, ET-23).</t>
  </si>
  <si>
    <t xml:space="preserve">RF-15</t>
  </si>
  <si>
    <t xml:space="preserve">El satélite deberá encender y apagar por comando la alimentación de cada subsistema de forma independiente.</t>
  </si>
  <si>
    <t xml:space="preserve">Gestión de energía y aislamiento de fallas.</t>
  </si>
  <si>
    <t xml:space="preserve">[D] Cada línea conmutada responde a su comando sin afectar a las demás.</t>
  </si>
  <si>
    <t xml:space="preserve">RF-16</t>
  </si>
  <si>
    <t xml:space="preserve">El satélite deberá medir tensión y corriente de la batería, de cada entrada solar y de cada línea de distribución.</t>
  </si>
  <si>
    <t xml:space="preserve">Enunciado: supervisar el consumo.</t>
  </si>
  <si>
    <t xml:space="preserve">[P] Comparación contra instrumento patrón con error ≤2 %.</t>
  </si>
  <si>
    <t xml:space="preserve">RF-17</t>
  </si>
  <si>
    <t xml:space="preserve">El satélite deberá cortar una línea de distribución ante sobrecorriente y permitir su reconexión.</t>
  </si>
  <si>
    <t xml:space="preserve">Enunciado: proteger los circuitos; latch-up (RA-06).</t>
  </si>
  <si>
    <t xml:space="preserve">[P] Con sobrecarga simulada, la línea se corta en ≤1 ms y se reconecta.</t>
  </si>
  <si>
    <t xml:space="preserve">RF-18</t>
  </si>
  <si>
    <t xml:space="preserve">El satélite deberá proteger la batería contra sobrecarga, sobredescarga, sobrecorriente y carga fuera del rango de temperatura permitido.</t>
  </si>
  <si>
    <t xml:space="preserve">Seguridad y vida útil de la batería.</t>
  </si>
  <si>
    <t xml:space="preserve">[P] Ensayo en banco de cada condición.</t>
  </si>
  <si>
    <t xml:space="preserve">Orientación</t>
  </si>
  <si>
    <t xml:space="preserve">RF-19</t>
  </si>
  <si>
    <t xml:space="preserve">El satélite deberá estimar su actitud a partir de mediciones a bordo.</t>
  </si>
  <si>
    <t xml:space="preserve">[A] Error de determinación ≤1° con luz solar (ET-28).</t>
  </si>
  <si>
    <t xml:space="preserve">RF-20</t>
  </si>
  <si>
    <t xml:space="preserve">El satélite deberá reducir su velocidad angular después de la separación.</t>
  </si>
  <si>
    <t xml:space="preserve">Rotación inicial (S-09).</t>
  </si>
  <si>
    <t xml:space="preserve">[A] Simulación simple o cálculo de tiempo de estabilización (ET-30).</t>
  </si>
  <si>
    <t xml:space="preserve">RF-21</t>
  </si>
  <si>
    <t xml:space="preserve">Durante una adquisición, el satélite deberá orientar la cámara hacia la región objetivo, con inclinación respecto a nadir de hasta 30°.</t>
  </si>
  <si>
    <t xml:space="preserve">Enunciado; revisita (el informe).</t>
  </si>
  <si>
    <t xml:space="preserve">[A] ET-29 y ET-32.</t>
  </si>
  <si>
    <t xml:space="preserve">RF-22</t>
  </si>
  <si>
    <t xml:space="preserve">Fuera de adquisiciones y pases, el satélite deberá orientarse para favorecer la generación eléctrica.</t>
  </si>
  <si>
    <t xml:space="preserve">[A] El balance energético se cumple con el modo de apuntamiento solar.</t>
  </si>
  <si>
    <t xml:space="preserve">RF-23</t>
  </si>
  <si>
    <t xml:space="preserve">El satélite deberá conocer su posición orbital y el tiempo UTC con la exactitud necesaria para programar capturas y apuntar.</t>
  </si>
  <si>
    <t xml:space="preserve">Sin posición no se puede calcular el vector a la región objetivo.</t>
  </si>
  <si>
    <t xml:space="preserve">[A] ET-33 y ET-34.</t>
  </si>
  <si>
    <t xml:space="preserve">No funcionales</t>
  </si>
  <si>
    <t xml:space="preserve">RNF-01</t>
  </si>
  <si>
    <t xml:space="preserve">No func.</t>
  </si>
  <si>
    <t xml:space="preserve">La distancia de muestreo en tierra (GSD) deberá ser ≤60 m en nadir y ≤80 m a 30° de inclinación.</t>
  </si>
  <si>
    <t xml:space="preserve">Escala de lote y región: un lote de 10 ha ocupa unos 5×5 píxeles.</t>
  </si>
  <si>
    <t xml:space="preserve">[A] GSD=p h/f con datos de sensor y lente (ET-02).</t>
  </si>
  <si>
    <t xml:space="preserve">RNF-02</t>
  </si>
  <si>
    <t xml:space="preserve">El ancho de barrido deberá ser ≥80 km.</t>
  </si>
  <si>
    <t xml:space="preserve">Cubrir en una pasada una región cafetera como el Eje Cafetero (estimación sobre mapa).</t>
  </si>
  <si>
    <t xml:space="preserve">[A] ET-03.</t>
  </si>
  <si>
    <t xml:space="preserve">RNF-03</t>
  </si>
  <si>
    <t xml:space="preserve">La resolución radiométrica deberá ser ≥10 bit.</t>
  </si>
  <si>
    <t xml:space="preserve">Diferencias pequeñas de reflectancia en vegetación.</t>
  </si>
  <si>
    <t xml:space="preserve">[I] Hoja de datos del sensor.</t>
  </si>
  <si>
    <t xml:space="preserve">RNF-04</t>
  </si>
  <si>
    <t xml:space="preserve">El sistema deberá poder adquirir, almacenar y bajar hasta 3,5 escenas por semana de 250 km× barrido.</t>
  </si>
  <si>
    <t xml:space="preserve">Algo por encima del máximo geométrico (≈3,3/semana) con ±30° (el informe).</t>
  </si>
  <si>
    <t xml:space="preserve">[A] Presupuestos de datos y energía.</t>
  </si>
  <si>
    <t xml:space="preserve">RNF-05</t>
  </si>
  <si>
    <t xml:space="preserve">El almacenamiento a bordo deberá contener al menos 10 escenas sin comprimir.</t>
  </si>
  <si>
    <t xml:space="preserve">Unas tres semanas sin descarga.</t>
  </si>
  <si>
    <t xml:space="preserve">[A, I] ET-10.</t>
  </si>
  <si>
    <t xml:space="preserve">RNF-06</t>
  </si>
  <si>
    <t xml:space="preserve">La capacidad diaria de descarga deberá ser ≥2 veces el volumen medio generado.</t>
  </si>
  <si>
    <t xml:space="preserve">Pases perdidos, reintentos, telemetría.</t>
  </si>
  <si>
    <t xml:space="preserve">[A] Presupuesto de datos.</t>
  </si>
  <si>
    <t xml:space="preserve">RNF-07</t>
  </si>
  <si>
    <t xml:space="preserve">Todos los enlaces deberán tener margen ≥3 dB a su elevación mínima.</t>
  </si>
  <si>
    <t xml:space="preserve">Práctica usual en presupuestos de enlace.</t>
  </si>
  <si>
    <t xml:space="preserve">[A] la tabla del informe.</t>
  </si>
  <si>
    <t xml:space="preserve">RNF-08</t>
  </si>
  <si>
    <t xml:space="preserve">El balance energético diario deberá ser positivo con margen ≥20 % en operación nominal.</t>
  </si>
  <si>
    <t xml:space="preserve">Incertidumbre de las estimaciones.</t>
  </si>
  <si>
    <t xml:space="preserve">RNF-09</t>
  </si>
  <si>
    <t xml:space="preserve">La profundidad de descarga de la batería deberá ser ≤20 % en el peor eclipse.</t>
  </si>
  <si>
    <t xml:space="preserve">≈2700 ciclos en seis meses.</t>
  </si>
  <si>
    <t xml:space="preserve">[A] ET-23.</t>
  </si>
  <si>
    <t xml:space="preserve">RNF-10</t>
  </si>
  <si>
    <t xml:space="preserve">El error de apuntamiento durante la adquisición deberá ser ≤2°.</t>
  </si>
  <si>
    <t xml:space="preserve">2° en nadir equivalen a ≈19 km, 17% del barrido.</t>
  </si>
  <si>
    <t xml:space="preserve">[A] ET-29.</t>
  </si>
  <si>
    <t xml:space="preserve">RNF-11</t>
  </si>
  <si>
    <t xml:space="preserve">La estabilidad angular durante la adquisición deberá ser ≤0,1°/s respecto a la actitud comandada.</t>
  </si>
  <si>
    <t xml:space="preserve">Limitar borrosidad y desplazamiento entre bandas.</t>
  </si>
  <si>
    <t xml:space="preserve">RNF-12</t>
  </si>
  <si>
    <t xml:space="preserve">El error del tiempo a bordo deberá ser ≤100 ms tras sincronizar, con deriva ≤ 0,5 s/día.</t>
  </si>
  <si>
    <t xml:space="preserve">100 ms equivalen a ≈700 m en tierra.</t>
  </si>
  <si>
    <t xml:space="preserve">[A, P] ET-34.</t>
  </si>
  <si>
    <t xml:space="preserve">RNF-13</t>
  </si>
  <si>
    <t xml:space="preserve">Ninguna falla simple en la carga útil, la orientación o el enlace de banda S deberá impedir la baliza y la recepción de comandos.</t>
  </si>
  <si>
    <t xml:space="preserve">Supervivencia.</t>
  </si>
  <si>
    <t xml:space="preserve">[A] Análisis simplificado de modos de falla.</t>
  </si>
  <si>
    <t xml:space="preserve">RNF-14</t>
  </si>
  <si>
    <t xml:space="preserve">Cada tarjeta deberá poder energizarse y probarse sola antes de la integración.</t>
  </si>
  <si>
    <t xml:space="preserve">Integración entre tres parejas (Práctica 6).</t>
  </si>
  <si>
    <t xml:space="preserve">[I] Conectores y puntos de prueba en cada tarjeta.</t>
  </si>
  <si>
    <t xml:space="preserve">RNF-15</t>
  </si>
  <si>
    <t xml:space="preserve">Programas y datos almacenados deberán tener detección de errores, y la memoria de trabajo crítica, corrección.</t>
  </si>
  <si>
    <t xml:space="preserve">Cambios de bit por radiación.</t>
  </si>
  <si>
    <t xml:space="preserve">[I] ET-36.</t>
  </si>
  <si>
    <t xml:space="preserve">RNF-16</t>
  </si>
  <si>
    <t xml:space="preserve">El momento dipolar magnético residual deberá ser ≤0,01 Am².</t>
  </si>
  <si>
    <t xml:space="preserve">Es la perturbación dominante a 550 km y afecta al magnetómetro.</t>
  </si>
  <si>
    <t xml:space="preserve">[A] Revisión de lazos de corriente.</t>
  </si>
  <si>
    <t xml:space="preserve">RNF-17</t>
  </si>
  <si>
    <t xml:space="preserve">Los componentes críticos deberán estar disponibles en distribuidores al iniciar la Práctica 4.</t>
  </si>
  <si>
    <t xml:space="preserve">Viabilidad académica.</t>
  </si>
  <si>
    <t xml:space="preserve">Baja</t>
  </si>
  <si>
    <t xml:space="preserve">[I] Consulta de disponibilidad.</t>
  </si>
  <si>
    <t xml:space="preserve">RA-01</t>
  </si>
  <si>
    <t xml:space="preserve">Amb.</t>
  </si>
  <si>
    <t xml:space="preserve">La electrónica deberá operar entre -20°C y +60°C y soportar sin daño entre -40°C y +85°C.</t>
  </si>
  <si>
    <t xml:space="preserve">Rango interno típico de un CubeSat en LEO; a refinar con modelo térmico (TBD-04).</t>
  </si>
  <si>
    <t xml:space="preserve">[I] Rango de todos los componentes en su hoja de datos.</t>
  </si>
  <si>
    <t xml:space="preserve">RA-02</t>
  </si>
  <si>
    <t xml:space="preserve">La batería deberá mantenerse dentro del rango de temperatura de carga y descarga del fabricante.</t>
  </si>
  <si>
    <t xml:space="preserve">En eclipse la batería se enfría y cargar Li-ion bajo 0°C la daña.</t>
  </si>
  <si>
    <t xml:space="preserve">[A] Balance térmico; [P] control del calefactor en mesa.</t>
  </si>
  <si>
    <t xml:space="preserve">RA-03</t>
  </si>
  <si>
    <t xml:space="preserve">El hardware deberá funcionar en vacío, sin componentes que dependan de convección o contengan fluidos que puedan escapar, con materiales de TML ≤1 % y CVCM ≤0,1 %.</t>
  </si>
  <si>
    <t xml:space="preserve">Desgasificación que contamina la óptica.</t>
  </si>
  <si>
    <t xml:space="preserve">[I] Lista de materiales y componentes.</t>
  </si>
  <si>
    <t xml:space="preserve">RA-04</t>
  </si>
  <si>
    <t xml:space="preserve">El calor de los componentes deberá evacuarse solo por conducción y radiación sin superar su temperatura máxima.</t>
  </si>
  <si>
    <t xml:space="preserve">No hay convección.</t>
  </si>
  <si>
    <t xml:space="preserve">[A] Cálculo térmico de los componentes de mayor disipación.</t>
  </si>
  <si>
    <t xml:space="preserve">RA-05</t>
  </si>
  <si>
    <t xml:space="preserve">Los componentes deberán tolerar una dosis ionizante total de al menos el doble de la estimada para la misión.</t>
  </si>
  <si>
    <t xml:space="preserve">Estimación preliminar ≈1 krad(Si) en 6 meses tras ≈2 mm de Al (TBD-03, SPENVIS ).</t>
  </si>
  <si>
    <t xml:space="preserve">[I] Datos de radiación o herencia de vuelo.</t>
  </si>
  <si>
    <t xml:space="preserve">RA-06</t>
  </si>
  <si>
    <t xml:space="preserve">El sistema deberá detectar y recuperarse de eventos de partícula única (latch-up y cambios de bit) sin intervención de tierra.</t>
  </si>
  <si>
    <t xml:space="preserve">Protones atrapados y rayos cósmicos.</t>
  </si>
  <si>
    <t xml:space="preserve">[A] Mecanismos de protección; [P] latch-up simulado con sobrecorriente.</t>
  </si>
  <si>
    <t xml:space="preserve">RA-07</t>
  </si>
  <si>
    <t xml:space="preserve">El hardware deberá soportar las cargas de vibración y choque del lanzamiento.</t>
  </si>
  <si>
    <t xml:space="preserve">Lanzador no definido; referencia GEVS (S-06).</t>
  </si>
  <si>
    <t xml:space="preserve">[A, I] Sujeción de componentes pesados y altos; ensayo fuera del alcance.</t>
  </si>
  <si>
    <t xml:space="preserve">RN-01</t>
  </si>
  <si>
    <t xml:space="preserve">Norm.</t>
  </si>
  <si>
    <t xml:space="preserve">Las dimensiones externas y los rieles deberán cumplir la CDS para 1U (100,0×100,0×113,5 mm).</t>
  </si>
  <si>
    <t xml:space="preserve">CubeSat Design Specification Rev. 14.1.</t>
  </si>
  <si>
    <t xml:space="preserve">[I] Modelo 3D (Práctica 6).</t>
  </si>
  <si>
    <t xml:space="preserve">RN-02</t>
  </si>
  <si>
    <t xml:space="preserve">La masa total deberá ser ≤2,00 k°am y el centro de masa deberá quedar a menos de 2 cm del centro geométrico.</t>
  </si>
  <si>
    <t xml:space="preserve">CDS.</t>
  </si>
  <si>
    <t xml:space="preserve">[A] Presupuesto de masa; [P] pesaje.</t>
  </si>
  <si>
    <t xml:space="preserve">RN-03</t>
  </si>
  <si>
    <t xml:space="preserve">El satélite deberá permanecer desenergizado dentro del dispensador mediante interruptores de despliegue y un pin RBF.</t>
  </si>
  <si>
    <t xml:space="preserve">[I] Esquemático de inhibiciones.</t>
  </si>
  <si>
    <t xml:space="preserve">RN-04</t>
  </si>
  <si>
    <t xml:space="preserve">No deberá transmitir RF antes de 45 minute ni desplegar apéndices antes de 30 minute desde la separación.</t>
  </si>
  <si>
    <t xml:space="preserve">[I, P] Temporizadores por hardware.</t>
  </si>
  <si>
    <t xml:space="preserve">RN-05</t>
  </si>
  <si>
    <t xml:space="preserve">La energía química almacenada deberá ser ≤100 Wh y las celdas de litio deberán tener las certificaciones exigidas por el proveedor de lanzamiento (p. ej. UN 38.3).</t>
  </si>
  <si>
    <t xml:space="preserve">CDS y reglas de transporte.</t>
  </si>
  <si>
    <t xml:space="preserve">[I] Hoja de datos y certificados.</t>
  </si>
  <si>
    <t xml:space="preserve">RN-06</t>
  </si>
  <si>
    <t xml:space="preserve">Las frecuencias deberán estar coordinadas y autorizadas conforme al Reglamento de Radiocomunicaciones de la UIT, ante la autoridad colombiana y, si aplica, ante la IARU.</t>
  </si>
  <si>
    <t xml:space="preserve">.</t>
  </si>
  <si>
    <t xml:space="preserve">[I] Documentación de coordinación.</t>
  </si>
  <si>
    <t xml:space="preserve">RN-07</t>
  </si>
  <si>
    <t xml:space="preserve">El satélite deberá reingresar en menos de 25 años tras el fin de la misión y no liberar piezas en órbita.</t>
  </si>
  <si>
    <t xml:space="preserve">Guías de mitigación de desechos.</t>
  </si>
  <si>
    <t xml:space="preserve">[A] Cálculo de vida orbital (TBD-09).</t>
  </si>
  <si>
    <t xml:space="preserve">RN-08</t>
  </si>
  <si>
    <t xml:space="preserve">Diseño y ensamble de PCB según IPC-2221 e IPC-A-610 clase 3.</t>
  </si>
  <si>
    <t xml:space="preserve">Alta confiabilidad.</t>
  </si>
  <si>
    <t xml:space="preserve">[I] Reglas de diseño y de ensamble.</t>
  </si>
  <si>
    <t xml:space="preserve">Especificaciones técnicas</t>
  </si>
  <si>
    <t xml:space="preserve">Requisitos asociados</t>
  </si>
  <si>
    <t xml:space="preserve">Parámetro técnico</t>
  </si>
  <si>
    <t xml:space="preserve">Valor, rango o tolerancia</t>
  </si>
  <si>
    <t xml:space="preserve">Fundamento</t>
  </si>
  <si>
    <t xml:space="preserve">Verificación</t>
  </si>
  <si>
    <t xml:space="preserve">ET-01</t>
  </si>
  <si>
    <t xml:space="preserve">Centro / ancho de banda</t>
  </si>
  <si>
    <t xml:space="preserve">560/35; 665/30; 705/15; 842/115 (±10 nm en el centro)</t>
  </si>
  <si>
    <t xml:space="preserve">nm</t>
  </si>
  <si>
    <t xml:space="preserve">Cercanas a B3, B4, B5 y B8 de Sentinel-2 para poder compararlas.</t>
  </si>
  <si>
    <t xml:space="preserve">A, I</t>
  </si>
  <si>
    <t xml:space="preserve">ET-02</t>
  </si>
  <si>
    <t xml:space="preserve">GSD</t>
  </si>
  <si>
    <t xml:space="preserve">≤60 nadir, ≤80 a 30° (diseño de ref.: 54,2)</t>
  </si>
  <si>
    <t xml:space="preserve">GSD=p h/f.</t>
  </si>
  <si>
    <t xml:space="preserve">ET-03</t>
  </si>
  <si>
    <t xml:space="preserve">≥80 (diseño de ref.: 111)</t>
  </si>
  <si>
    <t xml:space="preserve">2048×54,2 m.</t>
  </si>
  <si>
    <t xml:space="preserve">ET-04</t>
  </si>
  <si>
    <t xml:space="preserve">Cuantización</t>
  </si>
  <si>
    <t xml:space="preserve">12</t>
  </si>
  <si>
    <t xml:space="preserve">≥10 más margen para ajuste de ganancia.</t>
  </si>
  <si>
    <t xml:space="preserve">I</t>
  </si>
  <si>
    <t xml:space="preserve">ET-05</t>
  </si>
  <si>
    <t xml:space="preserve">≤2</t>
  </si>
  <si>
    <t xml:space="preserve">Borrosidad =7,0 km/s×2 ms=14 m≈0,26 GSD.</t>
  </si>
  <si>
    <t xml:space="preserve">ET-06</t>
  </si>
  <si>
    <t xml:space="preserve">Intervalo entre cuadros</t>
  </si>
  <si>
    <t xml:space="preserve">≤3,9 (nominal 3,5)</t>
  </si>
  <si>
    <t xml:space="preserve">Cada franja del filtro cubre 512 filas ×54,2 m=27,7 km; a 7 km/s se necesita un cuadro cada 3,9 s o menos para no dejar huecos.</t>
  </si>
  <si>
    <t xml:space="preserve">ET-07</t>
  </si>
  <si>
    <t xml:space="preserve">RNF-04, RNF-05</t>
  </si>
  <si>
    <t xml:space="preserve">Datos por escena</t>
  </si>
  <si>
    <t xml:space="preserve">100,7 sin comprimir; ≈50 comprimido</t>
  </si>
  <si>
    <t xml:space="preserve">16 cuadros de 6,29 MB (2048^2×12 bit); compresión 2:1 (TBD-02).</t>
  </si>
  <si>
    <t xml:space="preserve">ET-08</t>
  </si>
  <si>
    <t xml:space="preserve">RF-01, RNF-04</t>
  </si>
  <si>
    <t xml:space="preserve">Tasa de lectura cámara–OBC</t>
  </si>
  <si>
    <t xml:space="preserve">≥10</t>
  </si>
  <si>
    <t xml:space="preserve">Leer un cuadro de 4,19 Mpx en menos de 0,5 s.</t>
  </si>
  <si>
    <t xml:space="preserve">A, P</t>
  </si>
  <si>
    <t xml:space="preserve">ET-09</t>
  </si>
  <si>
    <t xml:space="preserve">RAM para cuadros</t>
  </si>
  <si>
    <t xml:space="preserve">≥16 (se propone 32)</t>
  </si>
  <si>
    <t xml:space="preserve">Dos cuadros en memoria (2×6,29 MB) para capturar uno mientras se escribe el otro.</t>
  </si>
  <si>
    <t xml:space="preserve">ET-10</t>
  </si>
  <si>
    <t xml:space="preserve">RF-04, RNF-05</t>
  </si>
  <si>
    <t xml:space="preserve">Almacenamiento no volátil</t>
  </si>
  <si>
    <t xml:space="preserve">≥2</t>
  </si>
  <si>
    <t xml:space="preserve">10 escenas crudas (1,0 GB) + comprimidas + registros ≈1,52 GB.</t>
  </si>
  <si>
    <t xml:space="preserve">ET-11</t>
  </si>
  <si>
    <t xml:space="preserve">Escritura sostenida</t>
  </si>
  <si>
    <t xml:space="preserve">≥4</t>
  </si>
  <si>
    <t xml:space="preserve">6,29 MB cada 3,5 s =1,8 MB/s, con margen de 2.</t>
  </si>
  <si>
    <t xml:space="preserve">P</t>
  </si>
  <si>
    <t xml:space="preserve">ET-12</t>
  </si>
  <si>
    <t xml:space="preserve">RF-06, RF-19, RF-21, RF-23</t>
  </si>
  <si>
    <t xml:space="preserve">Procesador central</t>
  </si>
  <si>
    <t xml:space="preserve">32 bit con FPU, ≥200 megahertz</t>
  </si>
  <si>
    <t xml:space="preserve">Carga estimada en la la tabla del informe.</t>
  </si>
  <si>
    <t xml:space="preserve">ET-13</t>
  </si>
  <si>
    <t xml:space="preserve">RF-08, RF-15, RNF-13</t>
  </si>
  <si>
    <t xml:space="preserve">Bus interno de TM/TC</t>
  </si>
  <si>
    <t xml:space="preserve">Diferencial, multimaestro, con detección de errores, ≥500</t>
  </si>
  <si>
    <t xml:space="preserve">kbit/s</t>
  </si>
  <si>
    <t xml:space="preserve">Tráfico interno ≈2 kB/s; el margen alto permite reintentos.</t>
  </si>
  <si>
    <t xml:space="preserve">ET-14</t>
  </si>
  <si>
    <t xml:space="preserve">Telemetría de estado</t>
  </si>
  <si>
    <t xml:space="preserve">Muestra cada ≤60; ≈200 B</t>
  </si>
  <si>
    <t xml:space="preserve">Registro de 288 kB/día.</t>
  </si>
  <si>
    <t xml:space="preserve">ET-15</t>
  </si>
  <si>
    <t xml:space="preserve">Memoria de programa</t>
  </si>
  <si>
    <t xml:space="preserve">2 ranuras de imagen de SW + imagen de respaldo protegida</t>
  </si>
  <si>
    <t xml:space="preserve">Permite actualizar y volver a una versión conocida.</t>
  </si>
  <si>
    <t xml:space="preserve">ET-16</t>
  </si>
  <si>
    <t xml:space="preserve">RF-07, RF-09, RN-06</t>
  </si>
  <si>
    <t xml:space="preserve">Enlace TT</t>
  </si>
  <si>
    <t xml:space="preserve">C</t>
  </si>
  <si>
    <t xml:space="preserve">435–438; GMSK/GFSK; 9,6</t>
  </si>
  <si>
    <t xml:space="preserve">MHz; kbit/s</t>
  </si>
  <si>
    <t xml:space="preserve">Banda de aficionados por satélite, antenas omnidireccionales pequeñas (TBD-08).</t>
  </si>
  <si>
    <t xml:space="preserve">ET-17</t>
  </si>
  <si>
    <t xml:space="preserve">RF-09, RNF-07</t>
  </si>
  <si>
    <t xml:space="preserve">Potencia TX UHF</t>
  </si>
  <si>
    <t xml:space="preserve">1 (30 dBm)</t>
  </si>
  <si>
    <t xml:space="preserve">Margen de 5,5 dB a 10° (la tabla del informe).</t>
  </si>
  <si>
    <t xml:space="preserve">ET-18</t>
  </si>
  <si>
    <t xml:space="preserve">Sensibilidad RX UHF</t>
  </si>
  <si>
    <t xml:space="preserve">≤-110</t>
  </si>
  <si>
    <t xml:space="preserve">dBm</t>
  </si>
  <si>
    <t xml:space="preserve">A 9,6 kbit/s con E_b/N_0=14 dB y NF de 4 dB se necesitan ≈-116 dBm.</t>
  </si>
  <si>
    <t xml:space="preserve">ET-19</t>
  </si>
  <si>
    <t xml:space="preserve">RF-05, RNF-06</t>
  </si>
  <si>
    <t xml:space="preserve">Enlace de imágenes</t>
  </si>
  <si>
    <t xml:space="preserve">2200–2290; QPSK/OQPSK con FEC; 2</t>
  </si>
  <si>
    <t xml:space="preserve">MHz; Mbit/s</t>
  </si>
  <si>
    <t xml:space="preserve">Capacidad ≈ 72 MB/día frente a 26 MB/día generados.</t>
  </si>
  <si>
    <t xml:space="preserve">ET-20</t>
  </si>
  <si>
    <t xml:space="preserve">RF-05, RNF-07</t>
  </si>
  <si>
    <t xml:space="preserve">Potencia TX banda S</t>
  </si>
  <si>
    <t xml:space="preserve">1 (30 dBm), consumo ≤8</t>
  </si>
  <si>
    <t xml:space="preserve">Margen de 4,3 dB a 20°.</t>
  </si>
  <si>
    <t xml:space="preserve">ET-21</t>
  </si>
  <si>
    <t xml:space="preserve">Margen de enlace</t>
  </si>
  <si>
    <t xml:space="preserve">≥3</t>
  </si>
  <si>
    <t xml:space="preserve">dB</t>
  </si>
  <si>
    <t xml:space="preserve">la tabla del informe.</t>
  </si>
  <si>
    <t xml:space="preserve">ET-22</t>
  </si>
  <si>
    <t xml:space="preserve">RF-14, RNF-08</t>
  </si>
  <si>
    <t xml:space="preserve">Generación media orbital (fin de vida)</t>
  </si>
  <si>
    <t xml:space="preserve">≥1,80</t>
  </si>
  <si>
    <t xml:space="preserve">Consumo medio 1,50 W×1,2. Estimado: 1,85 W.</t>
  </si>
  <si>
    <t xml:space="preserve">ET-23</t>
  </si>
  <si>
    <t xml:space="preserve">RF-14, RNF-09, RN-05</t>
  </si>
  <si>
    <t xml:space="preserve">Batería</t>
  </si>
  <si>
    <t xml:space="preserve">2S (6,0–8,4 V), ≥12,3 útiles, ≤100 totales</t>
  </si>
  <si>
    <t xml:space="preserve">Peor eclipse 2,46 Wh / 0,2. Diseño de ref.: 2×18650, ≈23 Wh.</t>
  </si>
  <si>
    <t xml:space="preserve">ET-24</t>
  </si>
  <si>
    <t xml:space="preserve">Rieles de alimentación</t>
  </si>
  <si>
    <t xml:space="preserve">3,3 V ±3%, ≥1,5 A; 5,0 V ±3%, ≥2,5 A; VBAT conmutada ≥2 A</t>
  </si>
  <si>
    <t xml:space="preserve">Pico con potencias máximas de TX banda S, ruedas y cámara en 5 V: 2,24 A.</t>
  </si>
  <si>
    <t xml:space="preserve">ET-25</t>
  </si>
  <si>
    <t xml:space="preserve">RF-15, RF-17, RA-06</t>
  </si>
  <si>
    <t xml:space="preserve">Líneas conmutadas</t>
  </si>
  <si>
    <t xml:space="preserve">≥8, corte ≤1 ms</t>
  </si>
  <si>
    <t xml:space="preserve">Una por carga; el corte rápido limita el daño por latch-up.</t>
  </si>
  <si>
    <t xml:space="preserve">ET-26</t>
  </si>
  <si>
    <t xml:space="preserve">Medición V/I</t>
  </si>
  <si>
    <t xml:space="preserve">±2%; resolución ≤5 mA</t>
  </si>
  <si>
    <t xml:space="preserve">Diagnóstico de consumos pequeños (sensores sim10 mA).</t>
  </si>
  <si>
    <t xml:space="preserve">ET-27</t>
  </si>
  <si>
    <t xml:space="preserve">RA-02, RF-18</t>
  </si>
  <si>
    <t xml:space="preserve">0,5 W; enciende &lt;2°C, apaga &gt;5°C</t>
  </si>
  <si>
    <t xml:space="preserve">Histéresis para no oscilar; margen sobre 0°C.</t>
  </si>
  <si>
    <t xml:space="preserve">ET-28</t>
  </si>
  <si>
    <t xml:space="preserve">RF-19, RNF-10</t>
  </si>
  <si>
    <t xml:space="preserve">Conocimiento de actitud</t>
  </si>
  <si>
    <t xml:space="preserve">≤1 (con luz solar)</t>
  </si>
  <si>
    <t xml:space="preserve">La mitad del error de apuntamiento.</t>
  </si>
  <si>
    <t xml:space="preserve">ET-29</t>
  </si>
  <si>
    <t xml:space="preserve">RF-21, RNF-10, RNF-11</t>
  </si>
  <si>
    <t xml:space="preserve">Apuntamiento, estabilidad y maniobra</t>
  </si>
  <si>
    <t xml:space="preserve">≤2; ≤0,1; ±30° en ≤60 s</t>
  </si>
  <si>
    <t xml:space="preserve">°; °/s</t>
  </si>
  <si>
    <t xml:space="preserve">Ver RNF-10 y RNF-11; maniobra lateral antes de la escena.</t>
  </si>
  <si>
    <t xml:space="preserve">ET-30</t>
  </si>
  <si>
    <t xml:space="preserve">Estabilización inicial</t>
  </si>
  <si>
    <t xml:space="preserve">De 10 a ≤0,5 en ≤6 órbitas</t>
  </si>
  <si>
    <t xml:space="preserve">°/s</t>
  </si>
  <si>
    <t xml:space="preserve">El orden de magnitud da minutos; se deja margen por la baja eficiencia del control B-dot.</t>
  </si>
  <si>
    <t xml:space="preserve">ET-31</t>
  </si>
  <si>
    <t xml:space="preserve">RF-20, RF-22</t>
  </si>
  <si>
    <t xml:space="preserve">Dipolo de magnetorquer</t>
  </si>
  <si>
    <t xml:space="preserve">≥0,1 por eje</t>
  </si>
  <si>
    <t xml:space="preserve">A·m²</t>
  </si>
  <si>
    <t xml:space="preserve">mB=0,1×30 µT=3 µN·m, unas diez veces la perturbación dominante.</t>
  </si>
  <si>
    <t xml:space="preserve">ET-32</t>
  </si>
  <si>
    <t xml:space="preserve">Momento de las ruedas</t>
  </si>
  <si>
    <t xml:space="preserve">≥1,5 por eje</t>
  </si>
  <si>
    <t xml:space="preserve">mN·m·s</t>
  </si>
  <si>
    <t xml:space="preserve">Perturbación magnética ≈3×10⁻⁷ N·m acumulada media órbita ≈0,9 mN·m·s. La maniobra de 30° pide mucho menos.</t>
  </si>
  <si>
    <t xml:space="preserve">ET-33</t>
  </si>
  <si>
    <t xml:space="preserve">Error de posición a bordo</t>
  </si>
  <si>
    <t xml:space="preserve">≤10 (TLE cada ≤2 días)</t>
  </si>
  <si>
    <t xml:space="preserve">10 km desvían el vector a la Tierra menos de 0,1°.</t>
  </si>
  <si>
    <t xml:space="preserve">ET-34</t>
  </si>
  <si>
    <t xml:space="preserve">RNF-12, RF-23</t>
  </si>
  <si>
    <t xml:space="preserve">Reloj a bordo</t>
  </si>
  <si>
    <t xml:space="preserve">TCXO ≤±5; sincronización ≤100</t>
  </si>
  <si>
    <t xml:space="preserve">ppm; ms</t>
  </si>
  <si>
    <t xml:space="preserve">5 ppm = 0,43 s/día.</t>
  </si>
  <si>
    <t xml:space="preserve">ET-35</t>
  </si>
  <si>
    <t xml:space="preserve">RF-10, RF-11</t>
  </si>
  <si>
    <t xml:space="preserve">Supervisión del OBC</t>
  </si>
  <si>
    <t xml:space="preserve">Watchdog externo ≤2 s; latido al EPS ≤60 s; reinicio por HW desde COM</t>
  </si>
  <si>
    <t xml:space="preserve">Tres niveles independientes de recuperación.</t>
  </si>
  <si>
    <t xml:space="preserve">ET-36</t>
  </si>
  <si>
    <t xml:space="preserve">RNF-15, RA-06</t>
  </si>
  <si>
    <t xml:space="preserve">Integridad de datos</t>
  </si>
  <si>
    <t xml:space="preserve">ECC en RAM y flash internas; CRC-32 por archivo; triple copia de parámetros</t>
  </si>
  <si>
    <t xml:space="preserve">ET-37</t>
  </si>
  <si>
    <t xml:space="preserve">RN-01, RN-02</t>
  </si>
  <si>
    <t xml:space="preserve">Masa y altura de pila</t>
  </si>
  <si>
    <t xml:space="preserve">≤1,7 kg objetivo; pila ≤96 mm</t>
  </si>
  <si>
    <t xml:space="preserve">Deja margen frente a 2,00 k°am (la tabla del informe).</t>
  </si>
  <si>
    <t xml:space="preserve">ET-38</t>
  </si>
  <si>
    <t xml:space="preserve">Grado de componentes</t>
  </si>
  <si>
    <t xml:space="preserve">-40 …+85°C</t>
  </si>
  <si>
    <t xml:space="preserve">Grado industrial o automotriz.</t>
  </si>
  <si>
    <t xml:space="preserve">ET-39</t>
  </si>
  <si>
    <t xml:space="preserve">Tolerancia a dosis total</t>
  </si>
  <si>
    <t xml:space="preserve">krad(Si)</t>
  </si>
  <si>
    <t xml:space="preserve">Doble de la estimación (TBD-03).</t>
  </si>
  <si>
    <t xml:space="preserve">ET-40</t>
  </si>
  <si>
    <t xml:space="preserve">RN-03, RN-04</t>
  </si>
  <si>
    <t xml:space="preserve">Temporizadores tras despliegue</t>
  </si>
  <si>
    <t xml:space="preserve">30 (antena), 45 (RF)</t>
  </si>
  <si>
    <t xml:space="preserve">Implementados por hardware en el EPS, independientes del OBC.</t>
  </si>
  <si>
    <t xml:space="preserve">I, P</t>
  </si>
  <si>
    <t xml:space="preserve">Matriz de trazabilidad</t>
  </si>
  <si>
    <t xml:space="preserve">Elemento de arquitectura</t>
  </si>
  <si>
    <t xml:space="preserve">Verificación prevista (etapa)</t>
  </si>
  <si>
    <t xml:space="preserve">RF-01, RNF-01 a RNF-03</t>
  </si>
  <si>
    <t xml:space="preserve">ET-01 a ET-04</t>
  </si>
  <si>
    <t xml:space="preserve">PCB-4 (sensor), lente comercial, filtro de 4 franjas</t>
  </si>
  <si>
    <t xml:space="preserve">I con hojas de datos (P4); A de GSD y barrido (P4).</t>
  </si>
  <si>
    <t xml:space="preserve">RF-02, RF-03, RF-23, RNF-12</t>
  </si>
  <si>
    <t xml:space="preserve">ET-12, ET-33, ET-34</t>
  </si>
  <si>
    <t xml:space="preserve">PCB-2: MCU, RTC con TCXO; SW: planificador y SGP4</t>
  </si>
  <si>
    <t xml:space="preserve">I (P4); P de deriva del reloj si hay prototipo.</t>
  </si>
  <si>
    <t xml:space="preserve">RF-04, RNF-04, RNF-05</t>
  </si>
  <si>
    <t xml:space="preserve">ET-05 a ET-11</t>
  </si>
  <si>
    <t xml:space="preserve">PCB-2: SDRAM, eMMC; interfaz IF-06</t>
  </si>
  <si>
    <t xml:space="preserve">A de ancho de banda (P4); D de captura en flatsat.</t>
  </si>
  <si>
    <t xml:space="preserve">RF-05, RF-06, RNF-06, RNF-07</t>
  </si>
  <si>
    <t xml:space="preserve">ET-19 a ET-21</t>
  </si>
  <si>
    <t xml:space="preserve">PCB-3: módulo TX banda S; antena de parche; IF-08</t>
  </si>
  <si>
    <t xml:space="preserve">A con datos reales del módulo elegido (P4).</t>
  </si>
  <si>
    <t xml:space="preserve">RF-07 a RF-09</t>
  </si>
  <si>
    <t xml:space="preserve">ET-14, ET-16 a ET-18</t>
  </si>
  <si>
    <t xml:space="preserve">PCB-3: transceptor UHF y MCU COM; antena UHF</t>
  </si>
  <si>
    <t xml:space="preserve">A (P4); D de baliza y comandos en mesa.</t>
  </si>
  <si>
    <t xml:space="preserve">RF-10, RF-11, RNF-13</t>
  </si>
  <si>
    <t xml:space="preserve">ET-13, ET-35</t>
  </si>
  <si>
    <t xml:space="preserve">Supervisor del EPS, MCU COM, watchdog externo, IF-09</t>
  </si>
  <si>
    <t xml:space="preserve">A de modos de falla (P6); P de reinicios.</t>
  </si>
  <si>
    <t xml:space="preserve">PCB-2: NOR QSPI con dos ranuras y FRAM</t>
  </si>
  <si>
    <t xml:space="preserve">I (P4).</t>
  </si>
  <si>
    <t xml:space="preserve">RF-13, RNF-14</t>
  </si>
  <si>
    <t xml:space="preserve">Puerto de acceso (IF-17) y conectores de prueba</t>
  </si>
  <si>
    <t xml:space="preserve">I (P5).</t>
  </si>
  <si>
    <t xml:space="preserve">RF-14, RNF-08, RNF-09, RN-05</t>
  </si>
  <si>
    <t xml:space="preserve">ET-22, ET-23</t>
  </si>
  <si>
    <t xml:space="preserve">Paneles, PCB-1: MPPT y batería 2S</t>
  </si>
  <si>
    <t xml:space="preserve">A (P4).</t>
  </si>
  <si>
    <t xml:space="preserve">RF-15 a RF-18, RA-02</t>
  </si>
  <si>
    <t xml:space="preserve">ET-24 a ET-27</t>
  </si>
  <si>
    <t xml:space="preserve">PCB-1: LCL, monitores V/I, protección y calefactor de batería</t>
  </si>
  <si>
    <t xml:space="preserve">P en banco de cada protección (flatsat).</t>
  </si>
  <si>
    <t xml:space="preserve">RF-19 a RF-22, RNF-10, RNF-11, RNF-16</t>
  </si>
  <si>
    <t xml:space="preserve">ET-28 a ET-32</t>
  </si>
  <si>
    <t xml:space="preserve">PCB-2: IMU, magnetómetro, ADC de sensores de sol, puentes H; ruedas; magnetorquers</t>
  </si>
  <si>
    <t xml:space="preserve">A con simulación simple de orientación (P6).</t>
  </si>
  <si>
    <t xml:space="preserve">RA-01, RA-03 a RA-06</t>
  </si>
  <si>
    <t xml:space="preserve">ET-36, ET-38, ET-39</t>
  </si>
  <si>
    <t xml:space="preserve">Selección de componentes y diseño térmico de las PCB</t>
  </si>
  <si>
    <t xml:space="preserve">I (P4); A térmico (P5).</t>
  </si>
  <si>
    <t xml:space="preserve">RA-07, RN-01, RN-02</t>
  </si>
  <si>
    <t xml:space="preserve">Disposición en pila y modelo 3D</t>
  </si>
  <si>
    <t xml:space="preserve">I y A (P6).</t>
  </si>
  <si>
    <t xml:space="preserve">PCB-1: inhibiciones y temporizadores</t>
  </si>
  <si>
    <t xml:space="preserve">I (P4); P en mesa.</t>
  </si>
  <si>
    <t xml:space="preserve">ET-16, ET-19</t>
  </si>
  <si>
    <t xml:space="preserve">Bandas UHF y S</t>
  </si>
  <si>
    <t xml:space="preserve">I de documentos (P6).</t>
  </si>
  <si>
    <t xml:space="preserve">RN-07, RN-08</t>
  </si>
  <si>
    <t xml:space="preserve">Vida orbital; reglas de diseño en Altium</t>
  </si>
  <si>
    <t xml:space="preserve">A (P6); I (P5).</t>
  </si>
  <si>
    <t xml:space="preserve">Definición preliminar de interfaces</t>
  </si>
  <si>
    <t xml:space="preserve">Origen</t>
  </si>
  <si>
    <t xml:space="preserve">Destino</t>
  </si>
  <si>
    <t xml:space="preserve">Función</t>
  </si>
  <si>
    <t xml:space="preserve">Señal o protocolo</t>
  </si>
  <si>
    <t xml:space="preserve">Características eléctricas preliminares</t>
  </si>
  <si>
    <t xml:space="preserve">Tasa o volumen</t>
  </si>
  <si>
    <t xml:space="preserve">Observaciones</t>
  </si>
  <si>
    <t xml:space="preserve">IF-01</t>
  </si>
  <si>
    <t xml:space="preserve">Paneles</t>
  </si>
  <si>
    <t xml:space="preserve">Energía solar</t>
  </si>
  <si>
    <t xml:space="preserve">DC, 5 entradas independientes</t>
  </si>
  <si>
    <t xml:space="preserve">4,0–5,5 V, ≤0,5 A por cara</t>
  </si>
  <si>
    <t xml:space="preserve">Diodo de bloqueo o ideal por entrada.</t>
  </si>
  <si>
    <t xml:space="preserve">IF-02</t>
  </si>
  <si>
    <t xml:space="preserve">PCB-2</t>
  </si>
  <si>
    <t xml:space="preserve">Sol y temperatura</t>
  </si>
  <si>
    <t xml:space="preserve">Analógico</t>
  </si>
  <si>
    <t xml:space="preserve">0–3,3 V, 11 canales</t>
  </si>
  <si>
    <t xml:space="preserve">10 Hz</t>
  </si>
  <si>
    <t xml:space="preserve">Rutear lejos de potencia; filtro RC en el OBC.</t>
  </si>
  <si>
    <t xml:space="preserve">IF-03</t>
  </si>
  <si>
    <t xml:space="preserve">Todas</t>
  </si>
  <si>
    <t xml:space="preserve">Alimentación</t>
  </si>
  <si>
    <t xml:space="preserve">Rieles conmutados por LCL</t>
  </si>
  <si>
    <t xml:space="preserve">3,3 V (≤1,5 A), 5 V (≤2,5 A), VBAT 6,0–8,4 V (≤2 A)</t>
  </si>
  <si>
    <t xml:space="preserve">Cruza la pila; varios pines por riel.</t>
  </si>
  <si>
    <t xml:space="preserve">IF-04</t>
  </si>
  <si>
    <t xml:space="preserve">PCB-1, PCB-3</t>
  </si>
  <si>
    <t xml:space="preserve">TM/TC interna</t>
  </si>
  <si>
    <t xml:space="preserve">CAN 2.0B</t>
  </si>
  <si>
    <t xml:space="preserve">Diferencial, transceptores de 3,3 V, 120 Ω en extremos</t>
  </si>
  <si>
    <t xml:space="preserve">500 kbit/s</t>
  </si>
  <si>
    <t xml:space="preserve">Cruza la pila; par trenzado equivalente en pistas.</t>
  </si>
  <si>
    <t xml:space="preserve">IF-05</t>
  </si>
  <si>
    <t xml:space="preserve">Respaldo de TM/TC</t>
  </si>
  <si>
    <t xml:space="preserve">I^2C</t>
  </si>
  <si>
    <t xml:space="preserve">3,3 V, pull-up en PCB-1</t>
  </si>
  <si>
    <t xml:space="preserve">100 kHz</t>
  </si>
  <si>
    <t xml:space="preserve">Solo si falla CAN.</t>
  </si>
  <si>
    <t xml:space="preserve">IF-06</t>
  </si>
  <si>
    <t xml:space="preserve">PCB-4</t>
  </si>
  <si>
    <t xml:space="preserve">Datos de imagen</t>
  </si>
  <si>
    <t xml:space="preserve">Paralelo 12 bit + PCLK, HSYNC, VSYNC</t>
  </si>
  <si>
    <t xml:space="preserve">LVCMOS 3,3 V (o 1,8 V con traductor), PCLK ≤25 MHz</t>
  </si>
  <si>
    <t xml:space="preserve">6,29 MB/cuadro</t>
  </si>
  <si>
    <t xml:space="preserve">Cable plano ≤100 mm, longitudes igualadas, tierras intercaladas.</t>
  </si>
  <si>
    <t xml:space="preserve">IF-07</t>
  </si>
  <si>
    <t xml:space="preserve">Configuración y disparo</t>
  </si>
  <si>
    <t xml:space="preserve">I^2C + GPIO</t>
  </si>
  <si>
    <t xml:space="preserve">3,3 V</t>
  </si>
  <si>
    <t xml:space="preserve">bajo</t>
  </si>
  <si>
    <t xml:space="preserve">El disparo marca la estampa de tiempo.</t>
  </si>
  <si>
    <t xml:space="preserve">IF-08</t>
  </si>
  <si>
    <t xml:space="preserve">Datos a banda S</t>
  </si>
  <si>
    <t xml:space="preserve">SPI</t>
  </si>
  <si>
    <t xml:space="preserve">LVCMOS 3,3 V, ≥4 Mbit/s</t>
  </si>
  <si>
    <t xml:space="preserve">2 Mbit/s sostenidos</t>
  </si>
  <si>
    <t xml:space="preserve">Cruza la pila; TBD-05.</t>
  </si>
  <si>
    <t xml:space="preserve">IF-09</t>
  </si>
  <si>
    <t xml:space="preserve">Reinicio del OBC</t>
  </si>
  <si>
    <t xml:space="preserve">Línea dedicada, drenador abierto</t>
  </si>
  <si>
    <t xml:space="preserve">evento</t>
  </si>
  <si>
    <t xml:space="preserve">Independiente del OBC.</t>
  </si>
  <si>
    <t xml:space="preserve">IF-10</t>
  </si>
  <si>
    <t xml:space="preserve">PCB-2, PCB-3</t>
  </si>
  <si>
    <t xml:space="preserve">Habilitación y reinicio</t>
  </si>
  <si>
    <t xml:space="preserve">GPIO</t>
  </si>
  <si>
    <t xml:space="preserve">El supervisor puede apagar y encender cada procesador.</t>
  </si>
  <si>
    <t xml:space="preserve">IF-11</t>
  </si>
  <si>
    <t xml:space="preserve">Ruedas</t>
  </si>
  <si>
    <t xml:space="preserve">Mando y TM de ruedas</t>
  </si>
  <si>
    <t xml:space="preserve">UART (o según COTS)</t>
  </si>
  <si>
    <t xml:space="preserve">3,3 V; alimentación 5 V por LCL</t>
  </si>
  <si>
    <t xml:space="preserve">Protocolo del fabricante.</t>
  </si>
  <si>
    <t xml:space="preserve">IF-12</t>
  </si>
  <si>
    <t xml:space="preserve">Actuación</t>
  </si>
  <si>
    <t xml:space="preserve">PWM bipolar con puente H</t>
  </si>
  <si>
    <t xml:space="preserve">5 V, ≤100 mA por eje</t>
  </si>
  <si>
    <t xml:space="preserve">Apagar al leer el magnetómetro.</t>
  </si>
  <si>
    <t xml:space="preserve">IF-13</t>
  </si>
  <si>
    <t xml:space="preserve">RF</t>
  </si>
  <si>
    <t xml:space="preserve">Coaxial 50 Ω</t>
  </si>
  <si>
    <t xml:space="preserve">30 dBm</t>
  </si>
  <si>
    <t xml:space="preserve">9,6 kbit/s</t>
  </si>
  <si>
    <t xml:space="preserve">Conector pequeño (MMCX o similar).</t>
  </si>
  <si>
    <t xml:space="preserve">IF-14</t>
  </si>
  <si>
    <t xml:space="preserve">Parche S</t>
  </si>
  <si>
    <t xml:space="preserve">2 Mbit/s</t>
  </si>
  <si>
    <t xml:space="preserve">Cable de ≈80 mm bajando por la pila.</t>
  </si>
  <si>
    <t xml:space="preserve">IF-15</t>
  </si>
  <si>
    <t xml:space="preserve">Despliegue</t>
  </si>
  <si>
    <t xml:space="preserve">Hilo térmico desde VBAT</t>
  </si>
  <si>
    <t xml:space="preserve">≈1 A durante ≤10 s (TBD)</t>
  </si>
  <si>
    <t xml:space="preserve">Con contacto de confirmación y reintentos.</t>
  </si>
  <si>
    <t xml:space="preserve">IF-16</t>
  </si>
  <si>
    <t xml:space="preserve">Interruptores, RBF</t>
  </si>
  <si>
    <t xml:space="preserve">Inhibición</t>
  </si>
  <si>
    <t xml:space="preserve">Contacto seco</t>
  </si>
  <si>
    <t xml:space="preserve">Cortan batería–cargas</t>
  </si>
  <si>
    <t xml:space="preserve">RN-03.</t>
  </si>
  <si>
    <t xml:space="preserve">IF-17</t>
  </si>
  <si>
    <t xml:space="preserve">Puerto de acceso</t>
  </si>
  <si>
    <t xml:space="preserve">PCB-1, 2, 3</t>
  </si>
  <si>
    <t xml:space="preserve">Carga y depuración</t>
  </si>
  <si>
    <t xml:space="preserve">Carga DC, SWD, UART</t>
  </si>
  <si>
    <t xml:space="preserve">Carga ≤8,4 V</t>
  </si>
  <si>
    <t xml:space="preserve">Accesible con la estructura cerrada.</t>
  </si>
  <si>
    <t xml:space="preserve">IF-18</t>
  </si>
  <si>
    <t xml:space="preserve">Estación</t>
  </si>
  <si>
    <t xml:space="preserve">Enlaces RF</t>
  </si>
  <si>
    <t xml:space="preserve">UHF 435–438 MHz; S 2200–2290 MHz</t>
  </si>
  <si>
    <t xml:space="preserve">9,6 kbit/s; 2 Mbit/s</t>
  </si>
  <si>
    <t xml:space="preserve">Valores por determinar (TBD)</t>
  </si>
  <si>
    <t xml:space="preserve">Qué falta</t>
  </si>
  <si>
    <t xml:space="preserve">Valor supuesto</t>
  </si>
  <si>
    <t xml:space="preserve">Por qué sigue abierto y cómo se cierra</t>
  </si>
  <si>
    <t xml:space="preserve">Cierre</t>
  </si>
  <si>
    <t xml:space="preserve">TBD-01</t>
  </si>
  <si>
    <t xml:space="preserve">Número y duración de pases sobre Medellín</t>
  </si>
  <si>
    <t xml:space="preserve">1,5 pases/día de 240 s (ε≥20°)</t>
  </si>
  <si>
    <t xml:space="preserve">La estimación es geométrica. Se cierra simulando con GMAT o gpredict y un TLE de un satélite real en órbita parecida, incluyendo la máscara de horizonte del valle.</t>
  </si>
  <si>
    <t xml:space="preserve">Práctica 4</t>
  </si>
  <si>
    <t xml:space="preserve">TBD-02</t>
  </si>
  <si>
    <t xml:space="preserve">2:1 (mínimo aceptable 1,4:1)</t>
  </si>
  <si>
    <t xml:space="preserve">Depende de la escena. Se cierra comprimiendo recortes de Sentinel-2 con una implementación de CCSDS 123.</t>
  </si>
  <si>
    <t xml:space="preserve">TBD-03</t>
  </si>
  <si>
    <t xml:space="preserve">Dosis ionizante total de la misión</t>
  </si>
  <si>
    <t xml:space="preserve">≈1 krad(Si)</t>
  </si>
  <si>
    <t xml:space="preserve">Se cierra con SPENVIS para la órbita y el blindaje reales.</t>
  </si>
  <si>
    <t xml:space="preserve">TBD-04</t>
  </si>
  <si>
    <t xml:space="preserve">Temperaturas internas y ciclo del calefactor</t>
  </si>
  <si>
    <t xml:space="preserve">-20 …+60°C; calefactor 20%</t>
  </si>
  <si>
    <t xml:space="preserve">Requiere un modelo térmico nodal sencillo.</t>
  </si>
  <si>
    <t xml:space="preserve">Práctica 6</t>
  </si>
  <si>
    <t xml:space="preserve">TBD-05</t>
  </si>
  <si>
    <t xml:space="preserve">Módulo transmisor de banda S</t>
  </si>
  <si>
    <t xml:space="preserve">SPI ≥4 Mbit/s, ≤8 W</t>
  </si>
  <si>
    <t xml:space="preserve">La selección depende de disponibilidad y costo; las condiciones que debe cumplir ya están fijadas (ET-19, ET-20).</t>
  </si>
  <si>
    <t xml:space="preserve">TBD-06</t>
  </si>
  <si>
    <t xml:space="preserve">Tipo de magnetorquer</t>
  </si>
  <si>
    <t xml:space="preserve">Varilla con núcleo, ≥0,1 Am²</t>
  </si>
  <si>
    <t xml:space="preserve">Varilla o bobina embebida en panel; ambas se manejan con el mismo puente H.</t>
  </si>
  <si>
    <t xml:space="preserve">TBD-07</t>
  </si>
  <si>
    <t xml:space="preserve">96 mm</t>
  </si>
  <si>
    <t xml:space="preserve">Depende del fabricante de la estructura.</t>
  </si>
  <si>
    <t xml:space="preserve">Práctica 5</t>
  </si>
  <si>
    <t xml:space="preserve">TBD-08</t>
  </si>
  <si>
    <t xml:space="preserve">Clasificación regulatoria</t>
  </si>
  <si>
    <t xml:space="preserve">UHF aficionados, banda S investigación espacial</t>
  </si>
  <si>
    <t xml:space="preserve">Se cierra consultando con la IARU y la autoridad nacional.</t>
  </si>
  <si>
    <t xml:space="preserve">TBD-09</t>
  </si>
  <si>
    <t xml:space="preserve">Tiempo de reingreso</t>
  </si>
  <si>
    <t xml:space="preserve">&lt;25 años</t>
  </si>
  <si>
    <t xml:space="preserve">Se cierra con una herramienta de vida orbital (STELA o DRAMA).</t>
  </si>
  <si>
    <t xml:space="preserve">Registro de riesgos</t>
  </si>
  <si>
    <t xml:space="preserve">Riesgo</t>
  </si>
  <si>
    <t xml:space="preserve">Consecuencia</t>
  </si>
  <si>
    <t xml:space="preserve">Mitigación</t>
  </si>
  <si>
    <t xml:space="preserve">RG-01</t>
  </si>
  <si>
    <t xml:space="preserve">La pila no cabe en la estructura seleccionada</t>
  </si>
  <si>
    <t xml:space="preserve">Rediseño de tarjetas o de la bahía</t>
  </si>
  <si>
    <t xml:space="preserve">Confirmar altura útil (TBD-07) antes de P5; tarjetas de perfil bajo; baterías acostadas.</t>
  </si>
  <si>
    <t xml:space="preserve">Alto</t>
  </si>
  <si>
    <t xml:space="preserve">RG-02</t>
  </si>
  <si>
    <t xml:space="preserve">Nubosidad alta sobre la zona andina</t>
  </si>
  <si>
    <t xml:space="preserve">Pocas escenas útiles</t>
  </si>
  <si>
    <t xml:space="preserve">Tomas a media mañana (S-01), vistas previas antes de bajar, capacidad dimensionada para el máximo de oportunidades.</t>
  </si>
  <si>
    <t xml:space="preserve">Medio</t>
  </si>
  <si>
    <t xml:space="preserve">RG-03</t>
  </si>
  <si>
    <t xml:space="preserve">Poca señal en la banda de borde rojo (15 nm)</t>
  </si>
  <si>
    <t xml:space="preserve">Imágenes ruidosas en esa banda</t>
  </si>
  <si>
    <t xml:space="preserve">Estimar SNR en P4 con la eficiencia cuántica del sensor; si no alcanza, ensanchar la banda o agrupar píxeles.</t>
  </si>
  <si>
    <t xml:space="preserve">RG-04</t>
  </si>
  <si>
    <t xml:space="preserve">Latch-up en componentes comerciales</t>
  </si>
  <si>
    <t xml:space="preserve">Daño permanente</t>
  </si>
  <si>
    <t xml:space="preserve">LCL con corte en ≤1 ms y reconexión; componentes con datos de radiación cuando existan.</t>
  </si>
  <si>
    <t xml:space="preserve">RG-05</t>
  </si>
  <si>
    <t xml:space="preserve">Retraso en la autorización de frecuencias</t>
  </si>
  <si>
    <t xml:space="preserve">No se puede operar</t>
  </si>
  <si>
    <t xml:space="preserve">Iniciar coordinación temprano; si la misión no califica como de aficionados, migrar UHF a una banda de operación espacial.</t>
  </si>
  <si>
    <t xml:space="preserve">RG-06</t>
  </si>
  <si>
    <t xml:space="preserve">Menos pases útiles de los estimados</t>
  </si>
  <si>
    <t xml:space="preserve">Menos datos bajados</t>
  </si>
  <si>
    <t xml:space="preserve">Simulación en P4 (TBD-01); orientar el parche a la estación durante el pase.</t>
  </si>
  <si>
    <t xml:space="preserve">RG-07</t>
  </si>
  <si>
    <t xml:space="preserve">Falla del apuntamiento solar</t>
  </si>
  <si>
    <t xml:space="preserve">Balance de energía negativo</t>
  </si>
  <si>
    <t xml:space="preserve">Modo seguro con cargas mínimas; el margen de batería permite varios días.</t>
  </si>
  <si>
    <t xml:space="preserve">RG-08</t>
  </si>
  <si>
    <t xml:space="preserve">Filtro de franjas a medida caro o con entrega lenta</t>
  </si>
  <si>
    <t xml:space="preserve">Retraso de la carga útil</t>
  </si>
  <si>
    <t xml:space="preserve">Cotizar en P4; alternativa D8-B como respaldo.</t>
  </si>
  <si>
    <t xml:space="preserve">RG-09</t>
  </si>
  <si>
    <t xml:space="preserve">Interferencia de los convertidores sobre la RF o el magnetómetro</t>
  </si>
  <si>
    <t xml:space="preserve">Pérdida de sensibilidad o mala actitud</t>
  </si>
  <si>
    <t xml:space="preserve">Frecuencias de conmutación fuera de banda, planos de tierra, separación física y apagar magnetorquers al medir.</t>
  </si>
  <si>
    <t xml:space="preserve">RG-10</t>
  </si>
  <si>
    <t xml:space="preserve">Batería fría durante la carga</t>
  </si>
  <si>
    <t xml:space="preserve">Degradación o daño</t>
  </si>
  <si>
    <t xml:space="preserve">Calefactor con histéresis y bloqueo de carga por temperatura en hardware.</t>
  </si>
  <si>
    <t xml:space="preserve">Componentes candidatos por tarjeta, fabricante, referencia y hoja de datos</t>
  </si>
  <si>
    <t xml:space="preserve">Copiado de la Sección de componentes del informe. «Verificada» = ficha u hoja de datos consultada al armar la lista; «Por verificar» = abrir el PDF y confirmar parámetros antes de citarlo.</t>
  </si>
  <si>
    <t xml:space="preserve">Tarjeta / grupo</t>
  </si>
  <si>
    <t xml:space="preserve">Fabricante</t>
  </si>
  <si>
    <t xml:space="preserve">Referencia</t>
  </si>
  <si>
    <t xml:space="preserve">Parámetros relevantes</t>
  </si>
  <si>
    <t xml:space="preserve">Requisito o ET que sustenta</t>
  </si>
  <si>
    <t xml:space="preserve">Hoja de datos (enlace)</t>
  </si>
  <si>
    <t xml:space="preserve">Archivo en el repositorio (datasheets/)</t>
  </si>
  <si>
    <t xml:space="preserve">Estado hoja de datos</t>
  </si>
  <si>
    <t xml:space="preserve">Cantidad</t>
  </si>
  <si>
    <t xml:space="preserve">Precio unitario (USD)</t>
  </si>
  <si>
    <t xml:space="preserve">Subtotal (USD)</t>
  </si>
  <si>
    <t xml:space="preserve">Fuente del precio</t>
  </si>
  <si>
    <t xml:space="preserve">E-01</t>
  </si>
  <si>
    <t xml:space="preserve">PCB-1: EPS con batería</t>
  </si>
  <si>
    <t xml:space="preserve">Protección de batería 2S por hardware</t>
  </si>
  <si>
    <t xml:space="preserve">Texas Instruments</t>
  </si>
  <si>
    <t xml:space="preserve">BQ77307</t>
  </si>
  <si>
    <t xml:space="preserve">Protector autónomo de 2 celdas en serie; corta con FET externos por sobretensión, subtensión, sobrecorriente y cortocircuito.</t>
  </si>
  <si>
    <t xml:space="preserve">RF-18, RN-06</t>
  </si>
  <si>
    <t xml:space="preserve">https://www.ti.com/product/BQ77307</t>
  </si>
  <si>
    <t xml:space="preserve">PCB1_EPS/TI_BQ77307.pdf</t>
  </si>
  <si>
    <t xml:space="preserve">Por verificar</t>
  </si>
  <si>
    <t xml:space="preserve">Estimado</t>
  </si>
  <si>
    <t xml:space="preserve">Recomendado por TI en el foro E2E para 2S; confirmar umbrales en la hoja de datos.</t>
  </si>
  <si>
    <t xml:space="preserve">E-02</t>
  </si>
  <si>
    <t xml:space="preserve">Cargador buck-boost con MPPT</t>
  </si>
  <si>
    <t xml:space="preserve">BQ25798</t>
  </si>
  <si>
    <t xml:space="preserve">1–4 celdas; entrada 3,6–24 V; MPPT por tensión de circuito abierto; 5 A; I2C; QFN 4×4 mm.</t>
  </si>
  <si>
    <t xml:space="preserve">RF-14, RF-18, ET-22, ET-23</t>
  </si>
  <si>
    <t xml:space="preserve">https://www.ti.com/lit/gpn/bq25798</t>
  </si>
  <si>
    <t xml:space="preserve">PCB1_EPS/TI_BQ25798.pdf</t>
  </si>
  <si>
    <t xml:space="preserve">Verificada</t>
  </si>
  <si>
    <t xml:space="preserve">Los cinco paneles se unen tras un diodo por entrada a un cargador; el MPPT es común (no por cara).</t>
  </si>
  <si>
    <t xml:space="preserve">E-03</t>
  </si>
  <si>
    <t xml:space="preserve">Diodos de bloqueo (×5, uno por panel)</t>
  </si>
  <si>
    <t xml:space="preserve">Vishay</t>
  </si>
  <si>
    <t xml:space="preserve">SS34</t>
  </si>
  <si>
    <t xml:space="preserve">Schottky 40 V, 3 A; unos 0,4 V de caída (≈0,2 W con 0,5 A).</t>
  </si>
  <si>
    <t xml:space="preserve">https://www.vishay.com/</t>
  </si>
  <si>
    <t xml:space="preserve">PCB1_EPS/Vishay_SS34.pdf</t>
  </si>
  <si>
    <t xml:space="preserve">Alternativa con menos pérdidas: controlador de diodo ideal (p. ej. TI LM74700-Q1).</t>
  </si>
  <si>
    <t xml:space="preserve">E-04</t>
  </si>
  <si>
    <t xml:space="preserve">Monitores de tensión y corriente (×14)</t>
  </si>
  <si>
    <t xml:space="preserve">INA226</t>
  </si>
  <si>
    <t xml:space="preserve">16 bits, I2C, hasta 36 V, 16 direcciones; con shunt de 50 mΩ resuelve unos 50 µA.</t>
  </si>
  <si>
    <t xml:space="preserve">RF-16, ET-26</t>
  </si>
  <si>
    <t xml:space="preserve">https://www.ti.com/lit/gpn/ina226</t>
  </si>
  <si>
    <t xml:space="preserve">PCB1_EPS/TI_INA226.pdf</t>
  </si>
  <si>
    <t xml:space="preserve">Verificado (DigiKey, sept. 2026)</t>
  </si>
  <si>
    <t xml:space="preserve">14 puntos: 5 paneles, 8 líneas LCL y batería (cabe en 16 direcciones).</t>
  </si>
  <si>
    <t xml:space="preserve">E-05</t>
  </si>
  <si>
    <t xml:space="preserve">Resistencias shunt de medición</t>
  </si>
  <si>
    <t xml:space="preserve">WSL2512, 50 mΩ, 1 %</t>
  </si>
  <si>
    <t xml:space="preserve">Baja inductancia, 2512, 1 W.</t>
  </si>
  <si>
    <t xml:space="preserve">PCB1_EPS/Vishay_WSL2512.pdf</t>
  </si>
  <si>
    <t xml:space="preserve">E-06</t>
  </si>
  <si>
    <t xml:space="preserve">Regulador buck 3,3 V (≥1,5 A)</t>
  </si>
  <si>
    <t xml:space="preserve">TPS62933</t>
  </si>
  <si>
    <t xml:space="preserve">Entrada 3,8–30 V, 3 A, síncrono; cubre VBAT de 6,0 a 8,4 V.</t>
  </si>
  <si>
    <t xml:space="preserve">https://www.ti.com/lit/gpn/tps62933</t>
  </si>
  <si>
    <t xml:space="preserve">PCB1_EPS/TI_TPS62933.pdf</t>
  </si>
  <si>
    <t xml:space="preserve">E-07</t>
  </si>
  <si>
    <t xml:space="preserve">Regulador buck 5,0 V (≥2,5 A)</t>
  </si>
  <si>
    <t xml:space="preserve">Mismo dispositivo; 3 A frente a un pico calculado de 2,24 A (margen del 34 %).</t>
  </si>
  <si>
    <t xml:space="preserve">Margen justo; si la Práctica 4 sube el pico, pasar a un regulador de 4 A.</t>
  </si>
  <si>
    <t xml:space="preserve">E-08</t>
  </si>
  <si>
    <t xml:space="preserve">Líneas conmutadas con límite de corriente (LCL ×8)</t>
  </si>
  <si>
    <t xml:space="preserve">TPS25947</t>
  </si>
  <si>
    <t xml:space="preserve">eFuse 2,7–23 V, hasta 5,5 A, límite ajustable, disparo por cortocircuito en microsegundos.</t>
  </si>
  <si>
    <t xml:space="preserve">RF-15, RF-17, RA-06, ET-25</t>
  </si>
  <si>
    <t xml:space="preserve">https://www.ti.com/lit/gpn/tps25947</t>
  </si>
  <si>
    <t xml:space="preserve">PCB1_EPS/TI_TPS25947.pdf</t>
  </si>
  <si>
    <t xml:space="preserve">Cumple corte ≤ 1 ms (ET-25); reconexión por línea EN.</t>
  </si>
  <si>
    <t xml:space="preserve">E-09</t>
  </si>
  <si>
    <t xml:space="preserve">MCU supervisor de bajo consumo</t>
  </si>
  <si>
    <t xml:space="preserve">STMicroelectronics</t>
  </si>
  <si>
    <t xml:space="preserve">STM32G0B1CBT6</t>
  </si>
  <si>
    <t xml:space="preserve">Cortex-M0+ 64 MHz, FDCAN, 2× I2C, ADC 12 bits, −40 a 85 °C.</t>
  </si>
  <si>
    <t xml:space="preserve">RF-10, RF-11, ET-35, ET-40</t>
  </si>
  <si>
    <t xml:space="preserve">https://www.st.com/resource/en/datasheet/stm32g0b1cb.pdf</t>
  </si>
  <si>
    <t xml:space="preserve">PCB1_EPS/ST_STM32G0B1.pdf</t>
  </si>
  <si>
    <t xml:space="preserve">El mismo MCU se usa en COM (una sola cadena de herramientas).</t>
  </si>
  <si>
    <t xml:space="preserve">E-10</t>
  </si>
  <si>
    <t xml:space="preserve">Transceptor CAN de 3,3 V</t>
  </si>
  <si>
    <t xml:space="preserve">SN65HVD230</t>
  </si>
  <si>
    <t xml:space="preserve">CAN a 3,3 V, hasta 1 Mbit/s, −40 a 85 °C.</t>
  </si>
  <si>
    <t xml:space="preserve">IF-04, ET-13</t>
  </si>
  <si>
    <t xml:space="preserve">https://www.ti.com/lit/gpn/sn65hvd230</t>
  </si>
  <si>
    <t xml:space="preserve">COMUN/TI_SN65HVD230.pdf</t>
  </si>
  <si>
    <t xml:space="preserve">Se repite en PCB-2 y PCB-3; terminación de 120 Ω en los extremos.</t>
  </si>
  <si>
    <t xml:space="preserve">E-11</t>
  </si>
  <si>
    <t xml:space="preserve">Temporizadores por hardware (×2: 30 min y 45 min)</t>
  </si>
  <si>
    <t xml:space="preserve">TPL5110</t>
  </si>
  <si>
    <t xml:space="preserve">Temporizador de nanopotencia, retardo de 100 ms a 7200 s con resistencia externa.</t>
  </si>
  <si>
    <t xml:space="preserve">RN-04, ET-40</t>
  </si>
  <si>
    <t xml:space="preserve">https://www.ti.com/lit/gpn/tpl5110</t>
  </si>
  <si>
    <t xml:space="preserve">PCB1_EPS/TI_TPL5110.pdf</t>
  </si>
  <si>
    <t xml:space="preserve">7200 s cubre 30 min (1800 s) y 45 min (2700 s).</t>
  </si>
  <si>
    <t xml:space="preserve">E-12</t>
  </si>
  <si>
    <t xml:space="preserve">MOSFET de potencia (calefactor, hilo térmico, FET de protección)</t>
  </si>
  <si>
    <t xml:space="preserve">Infineon</t>
  </si>
  <si>
    <t xml:space="preserve">IRLML6344TRPbF</t>
  </si>
  <si>
    <t xml:space="preserve">N-canal 30 V, ≈5 A, compuerta a nivel lógico, SOT-23.</t>
  </si>
  <si>
    <t xml:space="preserve">RF-18, IF-15</t>
  </si>
  <si>
    <t xml:space="preserve">https://www.infineon.com/</t>
  </si>
  <si>
    <t xml:space="preserve">PCB1_EPS/Infineon_IRLML6344.pdf</t>
  </si>
  <si>
    <t xml:space="preserve">Verificar RDS(on) a la tensión de compuerta real (3,3 V).</t>
  </si>
  <si>
    <t xml:space="preserve">E-13</t>
  </si>
  <si>
    <t xml:space="preserve">Calefactor de batería (0,5 W)</t>
  </si>
  <si>
    <t xml:space="preserve">CRCW2512120RFKEG</t>
  </si>
  <si>
    <t xml:space="preserve">120 Ω, 1 %, 2512, 1 W: 0,46 W a 7,4 V y 0,59 W a 8,4 V.</t>
  </si>
  <si>
    <t xml:space="preserve">RA-02, ET-27</t>
  </si>
  <si>
    <t xml:space="preserve">PCB1_EPS/Vishay_CRCW2512.pdf</t>
  </si>
  <si>
    <t xml:space="preserve">E-14</t>
  </si>
  <si>
    <t xml:space="preserve">Sensores de temperatura NTC (batería, paneles, PA)</t>
  </si>
  <si>
    <t xml:space="preserve">Murata</t>
  </si>
  <si>
    <t xml:space="preserve">NCP15XH103F03RC</t>
  </si>
  <si>
    <t xml:space="preserve">NTC 10 kΩ, 0402, −40 a 125 °C.</t>
  </si>
  <si>
    <t xml:space="preserve">RA-02, RF-16</t>
  </si>
  <si>
    <t xml:space="preserve">https://www.murata.com/</t>
  </si>
  <si>
    <t xml:space="preserve">COMUN/Murata_NCP15XH103F03RC.pdf</t>
  </si>
  <si>
    <t xml:space="preserve">E-15</t>
  </si>
  <si>
    <t xml:space="preserve">Interruptores de despliegue (señal de inhibición)</t>
  </si>
  <si>
    <t xml:space="preserve">Omron</t>
  </si>
  <si>
    <t xml:space="preserve">D2F-01F</t>
  </si>
  <si>
    <t xml:space="preserve">Microinterruptor subminiatura; solo maneja la señal lógica, la corriente la conmuta un MOSFET.</t>
  </si>
  <si>
    <t xml:space="preserve">RN-03, IF-16</t>
  </si>
  <si>
    <t xml:space="preserve">https://components.omron.com/</t>
  </si>
  <si>
    <t xml:space="preserve">PCB1_EPS/Omron_D2F.pdf</t>
  </si>
  <si>
    <t xml:space="preserve">El pin RBF es un elemento mecánico del rail; definir en la Práctica 4.</t>
  </si>
  <si>
    <t xml:space="preserve">E-16</t>
  </si>
  <si>
    <t xml:space="preserve">Conector de pila (2×26, tipo PC/104)</t>
  </si>
  <si>
    <t xml:space="preserve">Samtec</t>
  </si>
  <si>
    <t xml:space="preserve">ESQ-126-39-G-D</t>
  </si>
  <si>
    <t xml:space="preserve">Zócalo apilable 2×26, paso 2,54 mm.</t>
  </si>
  <si>
    <t xml:space="preserve">IF-03, IF-04</t>
  </si>
  <si>
    <t xml:space="preserve">https://www.samtec.com/products/esq</t>
  </si>
  <si>
    <t xml:space="preserve">COMUN/Samtec_ESQ.pdf</t>
  </si>
  <si>
    <t xml:space="preserve">Mismo conector en las cuatro tarjetas; pines de potencia en paralelo.</t>
  </si>
  <si>
    <t xml:space="preserve">O-01</t>
  </si>
  <si>
    <t xml:space="preserve">PCB-2: OBC y orientación</t>
  </si>
  <si>
    <t xml:space="preserve">Microcontrolador central</t>
  </si>
  <si>
    <t xml:space="preserve">STM32H743IIT6</t>
  </si>
  <si>
    <t xml:space="preserve">Cortex-M7 a 480 MHz, 2 MB de flash, 1 MB de RAM con ECC, DCMI, FMC, SDMMC, QSPI, FDCAN; −40 a 85 °C.</t>
  </si>
  <si>
    <t xml:space="preserve">ET-12, ET-36, RA-06</t>
  </si>
  <si>
    <t xml:space="preserve">https://www.st.com/resource/en/datasheet/stm32h743ii.pdf</t>
  </si>
  <si>
    <t xml:space="preserve">PCB2_OBC/ST_STM32H743.pdf</t>
  </si>
  <si>
    <t xml:space="preserve">Es el candidato de la referencia [16]; el encapsulado LQFP176 da los pines que pide la Sección V-B.</t>
  </si>
  <si>
    <t xml:space="preserve">O-02</t>
  </si>
  <si>
    <t xml:space="preserve">SDRAM de 32 MB</t>
  </si>
  <si>
    <t xml:space="preserve">ISSI</t>
  </si>
  <si>
    <t xml:space="preserve">IS42S16160J-6TLI</t>
  </si>
  <si>
    <t xml:space="preserve">256 Mbit (16 M×16), 3,3 V, 166 MHz, grado industrial.</t>
  </si>
  <si>
    <t xml:space="preserve">https://www.issi.com/WW/pdf/42-45S16160J.pdf</t>
  </si>
  <si>
    <t xml:space="preserve">PCB2_OBC/ISSI_IS42S16160J.pdf</t>
  </si>
  <si>
    <t xml:space="preserve">Dos cuadros de 5,97 MB caben con margen (ver hallazgo del sensor).</t>
  </si>
  <si>
    <t xml:space="preserve">O-03</t>
  </si>
  <si>
    <t xml:space="preserve">Almacenamiento masivo eMMC de 4 GB</t>
  </si>
  <si>
    <t xml:space="preserve">Micron</t>
  </si>
  <si>
    <t xml:space="preserve">MTFC4GACAJCN-4M IT</t>
  </si>
  <si>
    <t xml:space="preserve">4 GB, eMMC 5.0, 153 bolas, 2,7–3,6 V, −40 a 85 °C.</t>
  </si>
  <si>
    <t xml:space="preserve">ET-10, ET-11, ET-38</t>
  </si>
  <si>
    <t xml:space="preserve">https://www.micron.com/</t>
  </si>
  <si>
    <t xml:space="preserve">PCB2_OBC/Micron_MTFC4GACAJCN.pdf</t>
  </si>
  <si>
    <t xml:space="preserve">Estimado (fin de vida; ver H-08)</t>
  </si>
  <si>
    <t xml:space="preserve">Micron la marca como fin de vida: riesgo para RNF-17; buscar un eMMC industrial equivalente vigente.</t>
  </si>
  <si>
    <t xml:space="preserve">O-04</t>
  </si>
  <si>
    <t xml:space="preserve">Flash NOR QSPI (2 ranuras de software + respaldo)</t>
  </si>
  <si>
    <t xml:space="preserve">Winbond</t>
  </si>
  <si>
    <t xml:space="preserve">W25Q128JVSIQ</t>
  </si>
  <si>
    <t xml:space="preserve">128 Mbit (16 MB), QSPI, −40 a 85 °C.</t>
  </si>
  <si>
    <t xml:space="preserve">ET-15, RF-12</t>
  </si>
  <si>
    <t xml:space="preserve">https://www.winbond.com/</t>
  </si>
  <si>
    <t xml:space="preserve">PCB2_OBC/Winbond_W25Q128JV.pdf</t>
  </si>
  <si>
    <t xml:space="preserve">O-05</t>
  </si>
  <si>
    <t xml:space="preserve">FRAM para contadores y parámetros críticos</t>
  </si>
  <si>
    <t xml:space="preserve">FM25V10-G</t>
  </si>
  <si>
    <t xml:space="preserve">1 Mbit, SPI a 40 MHz, escrituras prácticamente ilimitadas.</t>
  </si>
  <si>
    <t xml:space="preserve">PCB2_OBC/Infineon_FM25V10.pdf</t>
  </si>
  <si>
    <t xml:space="preserve">O-06</t>
  </si>
  <si>
    <t xml:space="preserve">RTC con TCXO</t>
  </si>
  <si>
    <t xml:space="preserve">Analog Devices (Maxim)</t>
  </si>
  <si>
    <t xml:space="preserve">DS3231SN</t>
  </si>
  <si>
    <t xml:space="preserve">TCXO integrado, ±3,5 ppm de −40 a 85 °C, I2C.</t>
  </si>
  <si>
    <t xml:space="preserve">RNF-12, ET-34</t>
  </si>
  <si>
    <t xml:space="preserve">https://www.analog.com/en/products/ds3231.html</t>
  </si>
  <si>
    <t xml:space="preserve">PCB2_OBC/ADI_DS3231.pdf</t>
  </si>
  <si>
    <t xml:space="preserve">3,5 ppm ≈ 0,30 s/día (ET-34 pide ≤ 5 ppm).</t>
  </si>
  <si>
    <t xml:space="preserve">O-07</t>
  </si>
  <si>
    <t xml:space="preserve">Watchdog externo (2 s)</t>
  </si>
  <si>
    <t xml:space="preserve">TPS3431</t>
  </si>
  <si>
    <t xml:space="preserve">Watchdog con tiempo programable y salida de reinicio.</t>
  </si>
  <si>
    <t xml:space="preserve">RF-11, ET-35</t>
  </si>
  <si>
    <t xml:space="preserve">https://www.ti.com/lit/gpn/tps3431</t>
  </si>
  <si>
    <t xml:space="preserve">PCB2_OBC/TI_TPS3431.pdf</t>
  </si>
  <si>
    <t xml:space="preserve">O-08</t>
  </si>
  <si>
    <t xml:space="preserve">IMU (giroscopio y acelerómetro)</t>
  </si>
  <si>
    <t xml:space="preserve">Bosch Sensortec</t>
  </si>
  <si>
    <t xml:space="preserve">BMI088</t>
  </si>
  <si>
    <t xml:space="preserve">Giroscopio ±2000 °/s y acelerómetro de 3 ejes, SPI/I2C, −40 a 85 °C.</t>
  </si>
  <si>
    <t xml:space="preserve">RF-19, ET-28</t>
  </si>
  <si>
    <t xml:space="preserve">https://www.bosch-sensortec.com/products/motion-sensors/imus/bmi088/</t>
  </si>
  <si>
    <t xml:space="preserve">PCB2_OBC/Bosch_BMI088.pdf</t>
  </si>
  <si>
    <t xml:space="preserve">O-09</t>
  </si>
  <si>
    <t xml:space="preserve">Magnetómetro de 3 ejes</t>
  </si>
  <si>
    <t xml:space="preserve">PNI Sensor Corporation</t>
  </si>
  <si>
    <t xml:space="preserve">RM3100</t>
  </si>
  <si>
    <t xml:space="preserve">Sensor geomagnético de bajo ruido, SPI/I2C, rango del orden de ±800 µT.</t>
  </si>
  <si>
    <t xml:space="preserve">RF-19, ET-28, RNF-16</t>
  </si>
  <si>
    <t xml:space="preserve">https://www.pnicorp.com/rm3100/</t>
  </si>
  <si>
    <t xml:space="preserve">PCB2_OBC/PNI_RM3100.pdf</t>
  </si>
  <si>
    <t xml:space="preserve">Ubicar lejos de los puentes H y de las pistas de alta corriente.</t>
  </si>
  <si>
    <t xml:space="preserve">O-10</t>
  </si>
  <si>
    <t xml:space="preserve">Drivers de puente H para magnetorquers (×3)</t>
  </si>
  <si>
    <t xml:space="preserve">DRV8837</t>
  </si>
  <si>
    <t xml:space="preserve">Puente H de 1,8 A, 1,8–11 V; se alimenta con los 5 V del EPS.</t>
  </si>
  <si>
    <t xml:space="preserve">RF-20, RF-22, IF-12</t>
  </si>
  <si>
    <t xml:space="preserve">https://www.ti.com/lit/gpn/drv8837</t>
  </si>
  <si>
    <t xml:space="preserve">PCB2_OBC/TI_DRV8837.pdf</t>
  </si>
  <si>
    <t xml:space="preserve">Se apagan mientras se lee el magnetómetro.</t>
  </si>
  <si>
    <t xml:space="preserve">O-11</t>
  </si>
  <si>
    <t xml:space="preserve">Igual que E-10.</t>
  </si>
  <si>
    <t xml:space="preserve">O-12</t>
  </si>
  <si>
    <t xml:space="preserve">Conector plano de cámara (FFC, 30 vías)</t>
  </si>
  <si>
    <t xml:space="preserve">Hirose</t>
  </si>
  <si>
    <t xml:space="preserve">FH12-30S-0.5SH(55)</t>
  </si>
  <si>
    <t xml:space="preserve">FFC de 0,5 mm, 30 vías; alcanza 12 bits + PCLK, HSYNC, VSYNC, I2C, disparo y alimentación.</t>
  </si>
  <si>
    <t xml:space="preserve">IF-06, IF-07</t>
  </si>
  <si>
    <t xml:space="preserve">https://www.hirose.com/</t>
  </si>
  <si>
    <t xml:space="preserve">PCB2_OBC/Hirose_FH12.pdf</t>
  </si>
  <si>
    <t xml:space="preserve">Contar las señales de IF-06 e IF-07 antes de fijar las 30 vías.</t>
  </si>
  <si>
    <t xml:space="preserve">O-13</t>
  </si>
  <si>
    <t xml:space="preserve">Conector de depuración SWD</t>
  </si>
  <si>
    <t xml:space="preserve">FTSH-105-01-L-DV-K</t>
  </si>
  <si>
    <t xml:space="preserve">Cabezal de 10 pines, paso 1,27 mm (Cortex Debug).</t>
  </si>
  <si>
    <t xml:space="preserve">https://www.samtec.com/products/ftsh</t>
  </si>
  <si>
    <t xml:space="preserve">COMUN/Samtec_FTSH.pdf</t>
  </si>
  <si>
    <t xml:space="preserve">O-14</t>
  </si>
  <si>
    <t xml:space="preserve">Conector de pila</t>
  </si>
  <si>
    <t xml:space="preserve">Igual que E-16.</t>
  </si>
  <si>
    <t xml:space="preserve">C-01</t>
  </si>
  <si>
    <t xml:space="preserve">PCB-3: comunicaciones</t>
  </si>
  <si>
    <t xml:space="preserve">MCU de comunicaciones</t>
  </si>
  <si>
    <t xml:space="preserve">Igual que E-09; SPI para la banda S y el UHF, FDCAN y UART.</t>
  </si>
  <si>
    <t xml:space="preserve">RF-11, RF-07, IF-08, IF-09</t>
  </si>
  <si>
    <t xml:space="preserve">C-02</t>
  </si>
  <si>
    <t xml:space="preserve">Transceptor UHF (435–438 MHz)</t>
  </si>
  <si>
    <t xml:space="preserve">Silicon Labs</t>
  </si>
  <si>
    <t xml:space="preserve">Si4463-C2A-GM</t>
  </si>
  <si>
    <t xml:space="preserve">142–1050 MHz, (G)FSK/GMSK hasta 1 Mbit/s, +20 dBm, sensibilidad −129 dBm, 1,8–3,8 V.</t>
  </si>
  <si>
    <t xml:space="preserve">RF-07, RF-08, ET-16, ET-18</t>
  </si>
  <si>
    <t xml:space="preserve">https://www.silabs.com/documents/public/data-sheets/Si4464-63-61-60.pdf</t>
  </si>
  <si>
    <t xml:space="preserve">PCB3_COM/SiLabs_Si4463.pdf</t>
  </si>
  <si>
    <t xml:space="preserve">La sensibilidad supera con mucho los −110 dBm de ET-18; el LNA externo queda opcional.</t>
  </si>
  <si>
    <t xml:space="preserve">C-03</t>
  </si>
  <si>
    <t xml:space="preserve">Amplificador de potencia UHF (1 W)</t>
  </si>
  <si>
    <t xml:space="preserve">Guerrilla RF</t>
  </si>
  <si>
    <t xml:space="preserve">GRF5504</t>
  </si>
  <si>
    <t xml:space="preserve">400–500 MHz, 5 V, hasta 35,5 dBm de saturación, ≈64 % de eficiencia, ganancia 41 dB, −40 a 85 °C.</t>
  </si>
  <si>
    <t xml:space="preserve">https://www.mouser.in/new/guerrilla-rf/guerrilla-rf-grf5504-power-amplifier</t>
  </si>
  <si>
    <t xml:space="preserve">PCB3_COM/GuerrillaRF_GRF5504.pdf</t>
  </si>
  <si>
    <t xml:space="preserve">Hay que atenuar la excitación de +20 dBm del Si4463; la eficiencia real dependerá de la red de adaptación.</t>
  </si>
  <si>
    <t xml:space="preserve">C-04</t>
  </si>
  <si>
    <t xml:space="preserve">Interruptor de RF transmisión/recepción</t>
  </si>
  <si>
    <t xml:space="preserve">pSemi (Murata)</t>
  </si>
  <si>
    <t xml:space="preserve">PE4259</t>
  </si>
  <si>
    <t xml:space="preserve">SPDT de banda ancha (hasta unos 3 GHz), control lógico.</t>
  </si>
  <si>
    <t xml:space="preserve">https://www.psemi.com/</t>
  </si>
  <si>
    <t xml:space="preserve">PCB3_COM/pSemi_PE4259.pdf</t>
  </si>
  <si>
    <t xml:space="preserve">Confirmar la potencia máxima admitida (&gt;30 dBm) antes de fijarlo.</t>
  </si>
  <si>
    <t xml:space="preserve">C-05</t>
  </si>
  <si>
    <t xml:space="preserve">Filtro pasa-bajos de armónicos UHF</t>
  </si>
  <si>
    <t xml:space="preserve">Mini-Circuits</t>
  </si>
  <si>
    <t xml:space="preserve">LFCN-490+</t>
  </si>
  <si>
    <t xml:space="preserve">Pasa-bajos cerámico LTCC, DC–490 MHz.</t>
  </si>
  <si>
    <t xml:space="preserve">RN-06, ET-17</t>
  </si>
  <si>
    <t xml:space="preserve">https://www.minicircuits.com/</t>
  </si>
  <si>
    <t xml:space="preserve">PCB3_COM/MiniCircuits_LFCN-490.pdf</t>
  </si>
  <si>
    <t xml:space="preserve">Comprobar la pérdida de inserción a 437 MHz y la potencia admitida.</t>
  </si>
  <si>
    <t xml:space="preserve">C-06</t>
  </si>
  <si>
    <t xml:space="preserve">Módulo transmisor de banda S (COTS)</t>
  </si>
  <si>
    <t xml:space="preserve">AAC Clyde Space</t>
  </si>
  <si>
    <t xml:space="preserve">PULSAR-STXC</t>
  </si>
  <si>
    <t xml:space="preserve">2,2–2,3 GHz, QPSK/OQPSK hasta 2 Mbit/s, 24–30 dBm, &lt; 5 W, 6–12 V, SPI a 4 MHz (datos) e I2C a 400 kHz.</t>
  </si>
  <si>
    <t xml:space="preserve">RF-05, ET-19, ET-20, TBD-05</t>
  </si>
  <si>
    <t xml:space="preserve">https://www.aac-clyde.space/wp-content/uploads/2021/10/Pulsar-STX-S-band.pdf</t>
  </si>
  <si>
    <t xml:space="preserve">PCB3_COM/AAC_Pulsar-STX.pdf</t>
  </si>
  <si>
    <t xml:space="preserve">Por cotizar</t>
  </si>
  <si>
    <t xml:space="preserve">—</t>
  </si>
  <si>
    <t xml:space="preserve">Por cotizar (COTS espacial; orden de magnitud típico USD 8 000-15 000)</t>
  </si>
  <si>
    <t xml:space="preserve">Mide 96×90×16,9 mm y es una tarjeta completa; ver hallazgos de volumen y temperatura.</t>
  </si>
  <si>
    <t xml:space="preserve">C-07</t>
  </si>
  <si>
    <t xml:space="preserve">C-08</t>
  </si>
  <si>
    <t xml:space="preserve">Conectores coaxiales de RF (UHF y banda S)</t>
  </si>
  <si>
    <t xml:space="preserve">U.FL-R-SMT-1(10)</t>
  </si>
  <si>
    <t xml:space="preserve">Micro-coaxial, 50 Ω, hasta 6 GHz.</t>
  </si>
  <si>
    <t xml:space="preserve">IF-13, IF-14</t>
  </si>
  <si>
    <t xml:space="preserve">PCB3_COM/Hirose_UFL.pdf</t>
  </si>
  <si>
    <t xml:space="preserve">El informe dice «MMCX o similar»; ambos sirven, U.FL ocupa menos altura.</t>
  </si>
  <si>
    <t xml:space="preserve">C-09</t>
  </si>
  <si>
    <t xml:space="preserve">S-01</t>
  </si>
  <si>
    <t xml:space="preserve">PCB-4: sensor de imagen</t>
  </si>
  <si>
    <t xml:space="preserve">Sensor de imagen CMOS monocromo</t>
  </si>
  <si>
    <t xml:space="preserve">onsemi</t>
  </si>
  <si>
    <t xml:space="preserve">MT9P031I12STM</t>
  </si>
  <si>
    <t xml:space="preserve">2592×1944, píxel de 2,2 µm, 12 bits paralelos, PCLK hasta 96 MHz, 381 mW, −30 a 70 °C, obturador rodante con reinicio global.</t>
  </si>
  <si>
    <t xml:space="preserve">RF-01, RNF-03, ET-01, ET-04, IF-06</t>
  </si>
  <si>
    <t xml:space="preserve">https://www.onsemi.com/products/sensors/image-sensors/mt9p031</t>
  </si>
  <si>
    <t xml:space="preserve">PCB4_SEN/onsemi_MT9P031.pdf</t>
  </si>
  <si>
    <t xml:space="preserve">Estado «last shipments»; el píxel no es de 3,45 µm y cambia la óptica (ver hallazgos).</t>
  </si>
  <si>
    <t xml:space="preserve">S-02</t>
  </si>
  <si>
    <t xml:space="preserve">Lente de la cámara (montura C/CS, VIS–NIR)</t>
  </si>
  <si>
    <t xml:space="preserve">Por cotizar (Edmund Optics, Kowa, Computar)</t>
  </si>
  <si>
    <t xml:space="preserve">f = 22 ± 2 mm</t>
  </si>
  <si>
    <t xml:space="preserve">Rango de f válido con este sensor: 20,2 a 24,0 mm (GSD ≤ 60 m y cuadros sin huecos).</t>
  </si>
  <si>
    <t xml:space="preserve">RNF-01, ET-02, ET-06</t>
  </si>
  <si>
    <t xml:space="preserve">Sin enlace: por cotizar o diseño propio</t>
  </si>
  <si>
    <t xml:space="preserve">PCB4_SEN/Lente_cotizacion.pdf</t>
  </si>
  <si>
    <t xml:space="preserve">No se fija referencia: depende de disponibilidad y masa.</t>
  </si>
  <si>
    <t xml:space="preserve">S-03</t>
  </si>
  <si>
    <t xml:space="preserve">Filtro de cuatro franjas (560/35, 665/30, 705/15, 842/115 nm)</t>
  </si>
  <si>
    <t xml:space="preserve">A medida (Optics Balzers, Chroma, Andover)</t>
  </si>
  <si>
    <t xml:space="preserve">Franjas de 486 filas por banda sobre la ventana de 2048×1944.</t>
  </si>
  <si>
    <t xml:space="preserve">RF-01, ET-01, S-08</t>
  </si>
  <si>
    <t xml:space="preserve">PCB4_SEN/Filtro_cotizacion.pdf</t>
  </si>
  <si>
    <t xml:space="preserve">RG-08 del informe.</t>
  </si>
  <si>
    <t xml:space="preserve">S-04</t>
  </si>
  <si>
    <t xml:space="preserve">Reguladores LDO de 2,8 V (analógico) y 1,8 V (digital)</t>
  </si>
  <si>
    <t xml:space="preserve">TLV75528P / TLV75518P</t>
  </si>
  <si>
    <t xml:space="preserve">500 mA, bajo ruido; el sensor pide 2,8 V analógicos y 1,8 V digitales.</t>
  </si>
  <si>
    <t xml:space="preserve">ET-04, IF-07</t>
  </si>
  <si>
    <t xml:space="preserve">https://www.ti.com/lit/gpn/tlv755p</t>
  </si>
  <si>
    <t xml:space="preserve">PCB4_SEN/TI_TLV755P.pdf</t>
  </si>
  <si>
    <t xml:space="preserve">Verificar que existan las versiones fijas de 2,8 V y 1,8 V.</t>
  </si>
  <si>
    <t xml:space="preserve">S-05</t>
  </si>
  <si>
    <t xml:space="preserve">Oscilador de reloj del sensor (6–27 MHz)</t>
  </si>
  <si>
    <t xml:space="preserve">SiTime</t>
  </si>
  <si>
    <t xml:space="preserve">SiT8008 (frecuencia a definir)</t>
  </si>
  <si>
    <t xml:space="preserve">Oscilador MEMS, −40 a 85 °C.</t>
  </si>
  <si>
    <t xml:space="preserve">https://www.sitime.com/</t>
  </si>
  <si>
    <t xml:space="preserve">PCB4_SEN/SiTime_SiT8008.pdf</t>
  </si>
  <si>
    <t xml:space="preserve">S-06</t>
  </si>
  <si>
    <t xml:space="preserve">Conector plano de cámara (FFC)</t>
  </si>
  <si>
    <t xml:space="preserve">Igual que O-12 (lado sensor).</t>
  </si>
  <si>
    <t xml:space="preserve">X-01</t>
  </si>
  <si>
    <t xml:space="preserve">Elementos fuera de las PCB (paneles, batería, actuadores, antenas)</t>
  </si>
  <si>
    <t xml:space="preserve">Celdas solares (×10: 2 por cara, 5 caras)</t>
  </si>
  <si>
    <t xml:space="preserve">AZUR SPACE</t>
  </si>
  <si>
    <t xml:space="preserve">3G30C-Advanced 4×8 (DB 00010891-01)</t>
  </si>
  <si>
    <t xml:space="preserve">Triple unión InGaP/GaAs/Ge, 30,18 cm², 150 µm, clase del 30 % BOL.</t>
  </si>
  <si>
    <t xml:space="preserve">RF-14, ET-22</t>
  </si>
  <si>
    <t xml:space="preserve">https://www.azurspace.com/media/uploads/file_links/file/bdb_00010891-01-00_tj3g30-advanced_4x8.pdf</t>
  </si>
  <si>
    <t xml:space="preserve">EXT/AZUR_3G30-Advanced_4x8.pdf</t>
  </si>
  <si>
    <t xml:space="preserve">Estimado (orden de magnitud, sin cotizar con AZUR SPACE)</t>
  </si>
  <si>
    <t xml:space="preserve">El informe usa 28 % de eficiencia; el 30 % es BOL, y la hoja de datos da los valores EOL.</t>
  </si>
  <si>
    <t xml:space="preserve">X-02</t>
  </si>
  <si>
    <t xml:space="preserve">Celdas de batería Li-ion 18650 (×2 en serie)</t>
  </si>
  <si>
    <t xml:space="preserve">Panasonic</t>
  </si>
  <si>
    <t xml:space="preserve">NCR18650B</t>
  </si>
  <si>
    <t xml:space="preserve">≈3,2 Ah, 3,6 V nominales; carga de 0 a 45 °C.</t>
  </si>
  <si>
    <t xml:space="preserve">RF-14, RN-05, ET-23</t>
  </si>
  <si>
    <t xml:space="preserve">https://industrial.panasonic.com/</t>
  </si>
  <si>
    <t xml:space="preserve">EXT/Panasonic_NCR18650B.pdf</t>
  </si>
  <si>
    <t xml:space="preserve">Estimado (celda comercial)</t>
  </si>
  <si>
    <t xml:space="preserve">Alternativa equivalente: Samsung INR18650-32E. Conseguir certificado UN 38.3 (RN-05).</t>
  </si>
  <si>
    <t xml:space="preserve">X-03</t>
  </si>
  <si>
    <t xml:space="preserve">Fotodiodos de los sensores de sol (×6)</t>
  </si>
  <si>
    <t xml:space="preserve">BPW34S</t>
  </si>
  <si>
    <t xml:space="preserve">Fotodiodo de silicio SMD, unos 7,5 mm²; se lee con una resistencia de carga.</t>
  </si>
  <si>
    <t xml:space="preserve">RF-19, IF-02</t>
  </si>
  <si>
    <t xml:space="preserve">EXT/Vishay_BPW34S.pdf</t>
  </si>
  <si>
    <t xml:space="preserve">Viven en las tarjetas de los paneles.</t>
  </si>
  <si>
    <t xml:space="preserve">X-04</t>
  </si>
  <si>
    <t xml:space="preserve">Ruedas de reacción (×3)</t>
  </si>
  <si>
    <t xml:space="preserve">CubeSpace</t>
  </si>
  <si>
    <t xml:space="preserve">CubeWheel Small</t>
  </si>
  <si>
    <t xml:space="preserve">1,77 mN·m·s, 0,23 mN·m, 60 g, 28×28×26,2 mm, I2C/UART/CAN, 3,3 V + 6,4–16 V, 150 mW promedio.</t>
  </si>
  <si>
    <t xml:space="preserve">RF-21, ET-32</t>
  </si>
  <si>
    <t xml:space="preserve">https://www.cubesatshop.com/wp-content/uploads/2016/06/CubeWheel-Brochure-August-2016.pdf</t>
  </si>
  <si>
    <t xml:space="preserve">EXT/CubeSpace_CubeWheel.pdf</t>
  </si>
  <si>
    <t xml:space="preserve">Verificado (CubeSatShop, catálogo, sept. 2026)</t>
  </si>
  <si>
    <t xml:space="preserve">Alimentación de motor desde VBAT, no desde los 5 V; ver hallazgos.</t>
  </si>
  <si>
    <t xml:space="preserve">X-05</t>
  </si>
  <si>
    <t xml:space="preserve">Magnetorquers (×3)</t>
  </si>
  <si>
    <t xml:space="preserve">CubeSpace (a cotizar)</t>
  </si>
  <si>
    <t xml:space="preserve">CubeTorquer (referencia por confirmar)</t>
  </si>
  <si>
    <t xml:space="preserve">Requisito: ≥ 0,1 A·m² por eje (ET-31), ≤ 100 mA a 5 V.</t>
  </si>
  <si>
    <t xml:space="preserve">RF-20, RF-22, ET-31</t>
  </si>
  <si>
    <t xml:space="preserve">EXT/Magnetorquer_cotizacion.pdf</t>
  </si>
  <si>
    <t xml:space="preserve">Por cotizar (orden de magnitud típico)</t>
  </si>
  <si>
    <t xml:space="preserve">TBD-06 del informe.</t>
  </si>
  <si>
    <t xml:space="preserve">X-06</t>
  </si>
  <si>
    <t xml:space="preserve">Antena de parche de banda S (cara nadir)</t>
  </si>
  <si>
    <t xml:space="preserve">S-band Patch Antenna</t>
  </si>
  <si>
    <t xml:space="preserve">Compatible con el PULSAR-STX/STXC, para la cara que mira a la Tierra.</t>
  </si>
  <si>
    <t xml:space="preserve">RF-05, IF-14</t>
  </si>
  <si>
    <t xml:space="preserve">EXT/AAC_S-band_patch.pdf</t>
  </si>
  <si>
    <t xml:space="preserve">Por cotizar (orden de magnitud)</t>
  </si>
  <si>
    <t xml:space="preserve">Pedir la hoja de datos propia de la antena (ganancia y ancho de haz).</t>
  </si>
  <si>
    <t xml:space="preserve">X-07</t>
  </si>
  <si>
    <t xml:space="preserve">Antena UHF desplegable (+Z)</t>
  </si>
  <si>
    <t xml:space="preserve">Diseño propio (cinta metálica + hilo térmico)</t>
  </si>
  <si>
    <t xml:space="preserve">Monopolo de ≈17 cm para 437 MHz; despliegue con hilo térmico (IF-15).</t>
  </si>
  <si>
    <t xml:space="preserve">RF-09, RN-04, IF-15</t>
  </si>
  <si>
    <t xml:space="preserve">EXT/Antena_UHF_diseno.pdf</t>
  </si>
  <si>
    <t xml:space="preserve">Estimado (materiales, diseño propio)</t>
  </si>
  <si>
    <t xml:space="preserve">Alternativa COTS: antena UHF desplegable de ISISpace o EnduroSat (a cotizar).</t>
  </si>
  <si>
    <t xml:space="preserve">X-08</t>
  </si>
  <si>
    <t xml:space="preserve">Estructura 1U con formato PC/104</t>
  </si>
  <si>
    <t xml:space="preserve">Por definir (Pumpkin, ISISpace, EnduroSat)</t>
  </si>
  <si>
    <t xml:space="preserve">Altura útil de referencia 96 mm (TBD-07).</t>
  </si>
  <si>
    <t xml:space="preserve">EXT/Estructura_cotizacion.pdf</t>
  </si>
  <si>
    <t xml:space="preserve">Por cotizar (orden de magnitud típico de estructura 1U COTS)</t>
  </si>
  <si>
    <t xml:space="preserve">Confirmar altura útil antes de la Práctica 5.</t>
  </si>
  <si>
    <t xml:space="preserve">Resumen</t>
  </si>
  <si>
    <t xml:space="preserve">Componentes listados</t>
  </si>
  <si>
    <t xml:space="preserve">Con hoja de datos verificada</t>
  </si>
  <si>
    <t xml:space="preserve">Ítems por cotizar (sin precio)</t>
  </si>
  <si>
    <t xml:space="preserve">Total estimado (USD, excluye "por cotizar")</t>
  </si>
  <si>
    <t xml:space="preserve">Precios de 1 unidad, sin envío ni aranceles. La mayoría son estimados de catálogo general (columna "Fuente del precio"); solo INA226, STM32H743IIT6 y CubeWheel Small vienen de una búsqueda de precio de esta sesión. Confirmar con el distribuidor antes de comprar.</t>
  </si>
  <si>
    <t xml:space="preserve">Hallazgos al contrastar los componentes con especificaciones y presupuestos</t>
  </si>
  <si>
    <t xml:space="preserve">Cada fila cambia o pone en riesgo un número ya reportado; resolver antes de la Práctica 5 y reflejar en RG-01 y en las Tablas XVIII y XVII.</t>
  </si>
  <si>
    <t xml:space="preserve">Componente</t>
  </si>
  <si>
    <t xml:space="preserve">Hallazgo</t>
  </si>
  <si>
    <t xml:space="preserve">Impacto</t>
  </si>
  <si>
    <t xml:space="preserve">Acción propuesta</t>
  </si>
  <si>
    <t xml:space="preserve">Afecta a</t>
  </si>
  <si>
    <t xml:space="preserve">H-01</t>
  </si>
  <si>
    <t xml:space="preserve">MT9P031 (S-01)</t>
  </si>
  <si>
    <t xml:space="preserve">Píxel de 2,2 µm y matriz de 2592×1944; el diseño de referencia usa 3,45 µm y 2048×2048. Con f = 35 mm la GSD sería 34,6 m y 2048 columnas darían 70,8 km de barrido (&lt; 80 km de RNF-02).</t>
  </si>
  <si>
    <t xml:space="preserve">Cambian GSD, barrido y tamaño de cuadro.</t>
  </si>
  <si>
    <t xml:space="preserve">Usar f = 22 mm: GSD 55,0 m (≤ 60 m), barrido 112,6 km y franjas de 486 filas (26,7 km) que exigen un cuadro cada ≤ 3,83 s frente a los 3,5 s nominales. Cuadro de 2048×1944×12 bit = 5,97 MB (−5 %). Con f = 25 mm el intervalo máximo baja a 3,37 s y quedarían huecos.</t>
  </si>
  <si>
    <t xml:space="preserve">RNF-01, RNF-02, ET-02, ET-03, ET-06, ET-07</t>
  </si>
  <si>
    <t xml:space="preserve">H-02</t>
  </si>
  <si>
    <t xml:space="preserve">Obturador rodante (con reinicio global solo en modo de captura única), estado «last shipments», plazo de entrega de 70 semanas en un distribuidor y rango de −30 a 70 °C.</t>
  </si>
  <si>
    <t xml:space="preserve">Cizalla geométrica de unos 0,5 km (≈9 px) entre la primera y la última fila si la lectura dura ≈70 ms; riesgo de disponibilidad; el rango cubre la operación de RA-01 (−20 a 60 °C) pero no la supervivencia a −40 °C.</t>
  </si>
  <si>
    <t xml:space="preserve">Declarar la distorsión como limitación (se corrige en tierra), comprar el sensor cuanto antes y tener un sensor alterno de interfaz paralela.</t>
  </si>
  <si>
    <t xml:space="preserve">RNF-17, RG-08, RA-01</t>
  </si>
  <si>
    <t xml:space="preserve">H-03</t>
  </si>
  <si>
    <t xml:space="preserve">PULSAR-STXC (C-06)</t>
  </si>
  <si>
    <t xml:space="preserve">El módulo mide 96×90×16,9 mm y es una tarjeta completa. Con la tarjeta UHF encima, la capa de comunicaciones deja de ser de 15 mm.</t>
  </si>
  <si>
    <t xml:space="preserve">La pila pasaría de 92 mm a unos 104 mm (supone 10 mm para la tarjeta UHF) frente a los 96 mm de referencia (TBD-07): no cabe.</t>
  </si>
  <si>
    <t xml:space="preserve">Opciones: (a) diseñar el transmisor de banda S dentro de PCB-3, (b) buscar una estructura más alta, (c) recortar otras capas. Decidir antes de la Práctica 5 y actualizar RG-01.</t>
  </si>
  <si>
    <t xml:space="preserve">RG-01, TBD-05, TBD-07</t>
  </si>
  <si>
    <t xml:space="preserve">H-04</t>
  </si>
  <si>
    <t xml:space="preserve">Temperatura de operación de −25 a +51 °C (RA-01 pide operar hasta 60 °C), alimentación de 6 a 12 V y consumo &lt; 5 W (el presupuesto usa 6 W). Es la versión «C» (2,2–2,3 GHz, comercial); la «STX» opera en 2,4–2,45 GHz de aficionados.</t>
  </si>
  <si>
    <t xml:space="preserve">La cota térmica no cierra hasta tener el modelo térmico; la banda debe coincidir con la clasificación regulatoria.</t>
  </si>
  <si>
    <t xml:space="preserve">Mantener la cota de 51 °C en el modelo térmico (TBD-04) y cerrar TBD-08 antes de comprar.</t>
  </si>
  <si>
    <t xml:space="preserve">RA-01, TBD-04, TBD-08</t>
  </si>
  <si>
    <t xml:space="preserve">H-05</t>
  </si>
  <si>
    <t xml:space="preserve">CubeWheel Small (X-04)</t>
  </si>
  <si>
    <t xml:space="preserve">Motor alimentado con 6,4–16 V (el informe la pone en 5 V); masa de 60 g por rueda; opera de −10 a 60 °C; consumo pico de 0,65 a 0,72 W por rueda (según ficha o folleto).</t>
  </si>
  <si>
    <t xml:space="preserve">Con VBAT mínimo de 6,0 V la rueda no arranca; 3 ruedas suman 0,18 kg (Tabla XVIII usa 0,15 kg) y hasta unos 2,0 W de pico si aceleran a la vez (la tabla usa 1,20 W).</t>
  </si>
  <si>
    <t xml:space="preserve">Cambiar IF-11 a una línea VBAT conmutada con corte a 6,5 V y actualizar masa y potencia máxima. La cantidad de movimiento de 1,77 mN·m·s cumple ET-32 (≥ 1,5).</t>
  </si>
  <si>
    <t xml:space="preserve">IF-11, ET-32, Tabla XVIII</t>
  </si>
  <si>
    <t xml:space="preserve">H-06</t>
  </si>
  <si>
    <t xml:space="preserve">BQ25798 (E-02)</t>
  </si>
  <si>
    <t xml:space="preserve">Un solo cargador con los cinco paneles unidos por diodos: el MPPT es común y no por cara.</t>
  </si>
  <si>
    <t xml:space="preserve">Las caras con distinta iluminación comparten el punto de operación; se pierde algo de energía frente a un MPPT por cara.</t>
  </si>
  <si>
    <t xml:space="preserve">Revisar si el factor de MPPT de 0,90 de la Sección XI-A sigue siendo válido; si no, usar dos cargadores o un MPPT por cara.</t>
  </si>
  <si>
    <t xml:space="preserve">RNF-08, ET-22</t>
  </si>
  <si>
    <t xml:space="preserve">H-07</t>
  </si>
  <si>
    <t xml:space="preserve">SPV1040 (descartado)</t>
  </si>
  <si>
    <t xml:space="preserve">Otra opción popular de MPPT, pero su entrada llega solo a 5,5 V y dos celdas en serie pueden pasar de eso en frío (comprobar Voc en la hoja de datos de la celda).</t>
  </si>
  <si>
    <t xml:space="preserve">Riesgo de sobretensión de entrada.</t>
  </si>
  <si>
    <t xml:space="preserve">Se prefiere el BQ25798 (entrada de 3,6 a 24 V).</t>
  </si>
  <si>
    <t xml:space="preserve">H-08</t>
  </si>
  <si>
    <t xml:space="preserve">eMMC MTFC4GACAJCN (O-03)</t>
  </si>
  <si>
    <t xml:space="preserve">Micron la marca como obsoleta, aunque hay stock en distribuidores.</t>
  </si>
  <si>
    <t xml:space="preserve">Riesgo de disponibilidad para RNF-17.</t>
  </si>
  <si>
    <t xml:space="preserve">Comprar el stock necesario para toda la Práctica 6 o cambiar a un eMMC industrial vigente de 4 GB.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</si>
</sst>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"/>
    <numFmt numFmtId="167" formatCode="0.00"/>
    <numFmt numFmtId="168" formatCode="0.000"/>
    <numFmt numFmtId="169" formatCode="0.00%"/>
    <numFmt numFmtId="170" formatCode="0%"/>
    <numFmt numFmtId="171" formatCode="0.0%"/>
    <numFmt numFmtId="172" formatCode="#,##0"/>
    <numFmt numFmtId="173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DEBF7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www.ti.com/product/BQ77307" TargetMode="External"/><Relationship Id="rId2" Type="http://schemas.openxmlformats.org/officeDocument/2006/relationships/hyperlink" Target="https://www.ti.com/lit/gpn/bq25798" TargetMode="External"/><Relationship Id="rId3" Type="http://schemas.openxmlformats.org/officeDocument/2006/relationships/hyperlink" Target="https://www.vishay.com/" TargetMode="External"/><Relationship Id="rId4" Type="http://schemas.openxmlformats.org/officeDocument/2006/relationships/hyperlink" Target="https://www.ti.com/lit/gpn/ina226" TargetMode="External"/><Relationship Id="rId5" Type="http://schemas.openxmlformats.org/officeDocument/2006/relationships/hyperlink" Target="https://www.vishay.com/" TargetMode="External"/><Relationship Id="rId6" Type="http://schemas.openxmlformats.org/officeDocument/2006/relationships/hyperlink" Target="https://www.ti.com/lit/gpn/tps62933" TargetMode="External"/><Relationship Id="rId7" Type="http://schemas.openxmlformats.org/officeDocument/2006/relationships/hyperlink" Target="https://www.ti.com/lit/gpn/tps62933" TargetMode="External"/><Relationship Id="rId8" Type="http://schemas.openxmlformats.org/officeDocument/2006/relationships/hyperlink" Target="https://www.ti.com/lit/gpn/tps25947" TargetMode="External"/><Relationship Id="rId9" Type="http://schemas.openxmlformats.org/officeDocument/2006/relationships/hyperlink" Target="https://www.st.com/resource/en/datasheet/stm32g0b1cb.pdf" TargetMode="External"/><Relationship Id="rId10" Type="http://schemas.openxmlformats.org/officeDocument/2006/relationships/hyperlink" Target="https://www.ti.com/lit/gpn/sn65hvd230" TargetMode="External"/><Relationship Id="rId11" Type="http://schemas.openxmlformats.org/officeDocument/2006/relationships/hyperlink" Target="https://www.ti.com/lit/gpn/tpl5110" TargetMode="External"/><Relationship Id="rId12" Type="http://schemas.openxmlformats.org/officeDocument/2006/relationships/hyperlink" Target="https://www.infineon.com/" TargetMode="External"/><Relationship Id="rId13" Type="http://schemas.openxmlformats.org/officeDocument/2006/relationships/hyperlink" Target="https://www.vishay.com/" TargetMode="External"/><Relationship Id="rId14" Type="http://schemas.openxmlformats.org/officeDocument/2006/relationships/hyperlink" Target="https://www.murata.com/" TargetMode="External"/><Relationship Id="rId15" Type="http://schemas.openxmlformats.org/officeDocument/2006/relationships/hyperlink" Target="https://components.omron.com/" TargetMode="External"/><Relationship Id="rId16" Type="http://schemas.openxmlformats.org/officeDocument/2006/relationships/hyperlink" Target="https://www.samtec.com/products/esq" TargetMode="External"/><Relationship Id="rId17" Type="http://schemas.openxmlformats.org/officeDocument/2006/relationships/hyperlink" Target="https://www.st.com/resource/en/datasheet/stm32h743ii.pdf" TargetMode="External"/><Relationship Id="rId18" Type="http://schemas.openxmlformats.org/officeDocument/2006/relationships/hyperlink" Target="https://www.issi.com/WW/pdf/42-45S16160J.pdf" TargetMode="External"/><Relationship Id="rId19" Type="http://schemas.openxmlformats.org/officeDocument/2006/relationships/hyperlink" Target="https://www.micron.com/" TargetMode="External"/><Relationship Id="rId20" Type="http://schemas.openxmlformats.org/officeDocument/2006/relationships/hyperlink" Target="https://www.winbond.com/" TargetMode="External"/><Relationship Id="rId21" Type="http://schemas.openxmlformats.org/officeDocument/2006/relationships/hyperlink" Target="https://www.infineon.com/" TargetMode="External"/><Relationship Id="rId22" Type="http://schemas.openxmlformats.org/officeDocument/2006/relationships/hyperlink" Target="https://www.analog.com/en/products/ds3231.html" TargetMode="External"/><Relationship Id="rId23" Type="http://schemas.openxmlformats.org/officeDocument/2006/relationships/hyperlink" Target="https://www.ti.com/lit/gpn/tps3431" TargetMode="External"/><Relationship Id="rId24" Type="http://schemas.openxmlformats.org/officeDocument/2006/relationships/hyperlink" Target="https://www.bosch-sensortec.com/products/motion-sensors/imus/bmi088/" TargetMode="External"/><Relationship Id="rId25" Type="http://schemas.openxmlformats.org/officeDocument/2006/relationships/hyperlink" Target="https://www.pnicorp.com/rm3100/" TargetMode="External"/><Relationship Id="rId26" Type="http://schemas.openxmlformats.org/officeDocument/2006/relationships/hyperlink" Target="https://www.ti.com/lit/gpn/drv8837" TargetMode="External"/><Relationship Id="rId27" Type="http://schemas.openxmlformats.org/officeDocument/2006/relationships/hyperlink" Target="https://www.ti.com/lit/gpn/sn65hvd230" TargetMode="External"/><Relationship Id="rId28" Type="http://schemas.openxmlformats.org/officeDocument/2006/relationships/hyperlink" Target="https://www.hirose.com/" TargetMode="External"/><Relationship Id="rId29" Type="http://schemas.openxmlformats.org/officeDocument/2006/relationships/hyperlink" Target="https://www.samtec.com/products/ftsh" TargetMode="External"/><Relationship Id="rId30" Type="http://schemas.openxmlformats.org/officeDocument/2006/relationships/hyperlink" Target="https://www.samtec.com/products/esq" TargetMode="External"/><Relationship Id="rId31" Type="http://schemas.openxmlformats.org/officeDocument/2006/relationships/hyperlink" Target="https://www.st.com/resource/en/datasheet/stm32g0b1cb.pdf" TargetMode="External"/><Relationship Id="rId32" Type="http://schemas.openxmlformats.org/officeDocument/2006/relationships/hyperlink" Target="https://www.silabs.com/documents/public/data-sheets/Si4464-63-61-60.pdf" TargetMode="External"/><Relationship Id="rId33" Type="http://schemas.openxmlformats.org/officeDocument/2006/relationships/hyperlink" Target="https://www.mouser.in/new/guerrilla-rf/guerrilla-rf-grf5504-power-amplifier" TargetMode="External"/><Relationship Id="rId34" Type="http://schemas.openxmlformats.org/officeDocument/2006/relationships/hyperlink" Target="https://www.psemi.com/" TargetMode="External"/><Relationship Id="rId35" Type="http://schemas.openxmlformats.org/officeDocument/2006/relationships/hyperlink" Target="https://www.minicircuits.com/" TargetMode="External"/><Relationship Id="rId36" Type="http://schemas.openxmlformats.org/officeDocument/2006/relationships/hyperlink" Target="https://www.aac-clyde.space/wp-content/uploads/2021/10/Pulsar-STX-S-band.pdf" TargetMode="External"/><Relationship Id="rId37" Type="http://schemas.openxmlformats.org/officeDocument/2006/relationships/hyperlink" Target="https://www.ti.com/lit/gpn/sn65hvd230" TargetMode="External"/><Relationship Id="rId38" Type="http://schemas.openxmlformats.org/officeDocument/2006/relationships/hyperlink" Target="https://www.hirose.com/" TargetMode="External"/><Relationship Id="rId39" Type="http://schemas.openxmlformats.org/officeDocument/2006/relationships/hyperlink" Target="https://www.samtec.com/products/esq" TargetMode="External"/><Relationship Id="rId40" Type="http://schemas.openxmlformats.org/officeDocument/2006/relationships/hyperlink" Target="https://www.onsemi.com/products/sensors/image-sensors/mt9p031" TargetMode="External"/><Relationship Id="rId41" Type="http://schemas.openxmlformats.org/officeDocument/2006/relationships/hyperlink" Target="https://www.ti.com/lit/gpn/tlv755p" TargetMode="External"/><Relationship Id="rId42" Type="http://schemas.openxmlformats.org/officeDocument/2006/relationships/hyperlink" Target="https://www.sitime.com/" TargetMode="External"/><Relationship Id="rId43" Type="http://schemas.openxmlformats.org/officeDocument/2006/relationships/hyperlink" Target="https://www.hirose.com/" TargetMode="External"/><Relationship Id="rId44" Type="http://schemas.openxmlformats.org/officeDocument/2006/relationships/hyperlink" Target="https://www.azurspace.com/media/uploads/file_links/file/bdb_00010891-01-00_tj3g30-advanced_4x8.pdf" TargetMode="External"/><Relationship Id="rId45" Type="http://schemas.openxmlformats.org/officeDocument/2006/relationships/hyperlink" Target="https://industrial.panasonic.com/" TargetMode="External"/><Relationship Id="rId46" Type="http://schemas.openxmlformats.org/officeDocument/2006/relationships/hyperlink" Target="https://www.vishay.com/" TargetMode="External"/><Relationship Id="rId47" Type="http://schemas.openxmlformats.org/officeDocument/2006/relationships/hyperlink" Target="https://www.cubesatshop.com/wp-content/uploads/2016/06/CubeWheel-Brochure-August-2016.pdf" TargetMode="External"/><Relationship Id="rId48" Type="http://schemas.openxmlformats.org/officeDocument/2006/relationships/hyperlink" Target="https://www.aac-clyde.space/wp-content/uploads/2021/10/Pulsar-STX-S-band.pdf" TargetMode="External"/><Relationship Id="rId4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7" t="s">
        <v>5</v>
      </c>
      <c r="B6" s="6" t="s">
        <v>6</v>
      </c>
    </row>
    <row r="7" customFormat="false" ht="15" hidden="false" customHeight="true" outlineLevel="0" collapsed="false">
      <c r="A7" s="8" t="s">
        <v>7</v>
      </c>
      <c r="B7" s="6" t="s">
        <v>8</v>
      </c>
    </row>
    <row r="8" customFormat="false" ht="15" hidden="false" customHeight="true" outlineLevel="0" collapsed="false">
      <c r="A8" s="9" t="s">
        <v>9</v>
      </c>
      <c r="B8" s="6" t="s">
        <v>10</v>
      </c>
    </row>
    <row r="10" customFormat="false" ht="15" hidden="false" customHeight="true" outlineLevel="0" collapsed="false">
      <c r="A10" s="4" t="s">
        <v>11</v>
      </c>
    </row>
    <row r="11" customFormat="false" ht="15" hidden="false" customHeight="true" outlineLevel="0" collapsed="false">
      <c r="A11" s="4" t="s">
        <v>12</v>
      </c>
      <c r="B11" s="6" t="s">
        <v>13</v>
      </c>
    </row>
    <row r="12" customFormat="false" ht="15" hidden="false" customHeight="true" outlineLevel="0" collapsed="false">
      <c r="A12" s="4" t="s">
        <v>14</v>
      </c>
      <c r="B12" s="6" t="s">
        <v>15</v>
      </c>
    </row>
    <row r="13" customFormat="false" ht="15" hidden="false" customHeight="true" outlineLevel="0" collapsed="false">
      <c r="A13" s="4" t="s">
        <v>16</v>
      </c>
      <c r="B13" s="6" t="s">
        <v>17</v>
      </c>
    </row>
    <row r="14" customFormat="false" ht="15" hidden="false" customHeight="true" outlineLevel="0" collapsed="false">
      <c r="A14" s="4" t="s">
        <v>18</v>
      </c>
      <c r="B14" s="6" t="s">
        <v>19</v>
      </c>
    </row>
    <row r="15" customFormat="false" ht="15" hidden="false" customHeight="true" outlineLevel="0" collapsed="false">
      <c r="A15" s="4" t="s">
        <v>20</v>
      </c>
      <c r="B15" s="6" t="s">
        <v>21</v>
      </c>
    </row>
    <row r="16" customFormat="false" ht="15" hidden="false" customHeight="true" outlineLevel="0" collapsed="false">
      <c r="A16" s="4" t="s">
        <v>22</v>
      </c>
      <c r="B16" s="6" t="s">
        <v>23</v>
      </c>
    </row>
    <row r="17" customFormat="false" ht="15" hidden="false" customHeight="true" outlineLevel="0" collapsed="false">
      <c r="A17" s="4" t="s">
        <v>24</v>
      </c>
      <c r="B17" s="6" t="s">
        <v>25</v>
      </c>
    </row>
    <row r="18" customFormat="false" ht="15" hidden="false" customHeight="true" outlineLevel="0" collapsed="false">
      <c r="A18" s="4" t="s">
        <v>26</v>
      </c>
      <c r="B18" s="6" t="s">
        <v>27</v>
      </c>
    </row>
    <row r="19" customFormat="false" ht="15" hidden="false" customHeight="true" outlineLevel="0" collapsed="false">
      <c r="A19" s="4" t="s">
        <v>28</v>
      </c>
      <c r="B19" s="6" t="s">
        <v>29</v>
      </c>
    </row>
    <row r="20" customFormat="false" ht="15" hidden="false" customHeight="true" outlineLevel="0" collapsed="false">
      <c r="A20" s="4" t="s">
        <v>30</v>
      </c>
      <c r="B20" s="6" t="s">
        <v>31</v>
      </c>
    </row>
    <row r="21" customFormat="false" ht="15" hidden="false" customHeight="true" outlineLevel="0" collapsed="false">
      <c r="A21" s="4" t="s">
        <v>32</v>
      </c>
      <c r="B21" s="6" t="s">
        <v>33</v>
      </c>
    </row>
    <row r="22" customFormat="false" ht="15" hidden="false" customHeight="false" outlineLevel="0" collapsed="false">
      <c r="A22" s="4" t="s">
        <v>34</v>
      </c>
      <c r="B22" s="6" t="s">
        <v>35</v>
      </c>
    </row>
    <row r="23" customFormat="false" ht="34.5" hidden="false" customHeight="true" outlineLevel="0" collapsed="false">
      <c r="A23" s="4" t="s">
        <v>36</v>
      </c>
      <c r="B23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2"/>
  </cols>
  <sheetData>
    <row r="1" customFormat="false" ht="15.75" hidden="false" customHeight="true" outlineLevel="0" collapsed="false">
      <c r="A1" s="2" t="s">
        <v>38</v>
      </c>
    </row>
    <row r="2" customFormat="false" ht="15" hidden="false" customHeight="true" outlineLevel="0" collapsed="false">
      <c r="A2" s="3" t="s">
        <v>39</v>
      </c>
    </row>
    <row r="4" customFormat="false" ht="15" hidden="false" customHeight="true" outlineLevel="0" collapsed="false">
      <c r="A4" s="11" t="s">
        <v>40</v>
      </c>
      <c r="B4" s="11" t="s">
        <v>41</v>
      </c>
      <c r="C4" s="11" t="s">
        <v>42</v>
      </c>
      <c r="D4" s="11" t="s">
        <v>43</v>
      </c>
    </row>
    <row r="5" customFormat="false" ht="15" hidden="false" customHeight="true" outlineLevel="0" collapsed="false">
      <c r="A5" s="12" t="s">
        <v>44</v>
      </c>
      <c r="B5" s="13" t="n">
        <v>6378</v>
      </c>
      <c r="C5" s="12" t="s">
        <v>45</v>
      </c>
      <c r="D5" s="12" t="s">
        <v>46</v>
      </c>
    </row>
    <row r="6" customFormat="false" ht="15" hidden="false" customHeight="true" outlineLevel="0" collapsed="false">
      <c r="A6" s="12" t="s">
        <v>47</v>
      </c>
      <c r="B6" s="13" t="n">
        <v>550</v>
      </c>
      <c r="C6" s="12" t="s">
        <v>45</v>
      </c>
      <c r="D6" s="12" t="s">
        <v>48</v>
      </c>
    </row>
    <row r="7" customFormat="false" ht="15" hidden="false" customHeight="true" outlineLevel="0" collapsed="false">
      <c r="A7" s="12" t="s">
        <v>49</v>
      </c>
      <c r="B7" s="14" t="n">
        <v>398600.4</v>
      </c>
      <c r="C7" s="12" t="s">
        <v>50</v>
      </c>
      <c r="D7" s="12"/>
    </row>
    <row r="8" customFormat="false" ht="15" hidden="false" customHeight="true" outlineLevel="0" collapsed="false">
      <c r="A8" s="12" t="s">
        <v>51</v>
      </c>
      <c r="B8" s="15" t="n">
        <f aca="false">Orbita!$B$5+Orbita!$B$6</f>
        <v>6928</v>
      </c>
      <c r="C8" s="12" t="s">
        <v>45</v>
      </c>
      <c r="D8" s="12" t="s">
        <v>52</v>
      </c>
    </row>
    <row r="9" customFormat="false" ht="15" hidden="false" customHeight="true" outlineLevel="0" collapsed="false">
      <c r="A9" s="12" t="s">
        <v>53</v>
      </c>
      <c r="B9" s="15" t="n">
        <f aca="false">2*PI()*SQRT(Orbita!$B$8^3/Orbita!$B$7)</f>
        <v>5738.82288874562</v>
      </c>
      <c r="C9" s="12" t="s">
        <v>54</v>
      </c>
      <c r="D9" s="12" t="s">
        <v>55</v>
      </c>
    </row>
    <row r="10" customFormat="false" ht="15" hidden="false" customHeight="true" outlineLevel="0" collapsed="false">
      <c r="A10" s="16" t="s">
        <v>53</v>
      </c>
      <c r="B10" s="17" t="n">
        <f aca="false">Orbita!$B$9/60</f>
        <v>95.6470481457603</v>
      </c>
      <c r="C10" s="12" t="s">
        <v>56</v>
      </c>
      <c r="D10" s="12"/>
    </row>
    <row r="11" customFormat="false" ht="15" hidden="false" customHeight="true" outlineLevel="0" collapsed="false">
      <c r="A11" s="12" t="s">
        <v>57</v>
      </c>
      <c r="B11" s="18" t="n">
        <f aca="false">86400/Orbita!$B$9</f>
        <v>15.0553522342428</v>
      </c>
      <c r="C11" s="12" t="s">
        <v>58</v>
      </c>
      <c r="D11" s="12"/>
    </row>
    <row r="12" customFormat="false" ht="15" hidden="false" customHeight="true" outlineLevel="0" collapsed="false">
      <c r="A12" s="12" t="s">
        <v>59</v>
      </c>
      <c r="B12" s="18" t="n">
        <f aca="false">SQRT(Orbita!$B$7/Orbita!$B$8)</f>
        <v>7.58516313397762</v>
      </c>
      <c r="C12" s="12" t="s">
        <v>60</v>
      </c>
      <c r="D12" s="12" t="s">
        <v>61</v>
      </c>
    </row>
    <row r="13" customFormat="false" ht="15" hidden="false" customHeight="true" outlineLevel="0" collapsed="false">
      <c r="A13" s="12" t="s">
        <v>62</v>
      </c>
      <c r="B13" s="18" t="n">
        <f aca="false">Orbita!$B$12*Orbita!$B$5/Orbita!$B$8</f>
        <v>6.98299227316819</v>
      </c>
      <c r="C13" s="12" t="s">
        <v>60</v>
      </c>
      <c r="D13" s="12" t="s">
        <v>63</v>
      </c>
    </row>
    <row r="14" customFormat="false" ht="15" hidden="false" customHeight="true" outlineLevel="0" collapsed="false">
      <c r="A14" s="12" t="s">
        <v>64</v>
      </c>
      <c r="B14" s="19" t="n">
        <f aca="false">DEGREES(ASIN(Orbita!$B$5/Orbita!$B$8))</f>
        <v>67.0157181204486</v>
      </c>
      <c r="C14" s="12" t="s">
        <v>65</v>
      </c>
      <c r="D14" s="12" t="s">
        <v>66</v>
      </c>
    </row>
    <row r="15" customFormat="false" ht="15" hidden="false" customHeight="true" outlineLevel="0" collapsed="false">
      <c r="A15" s="16" t="s">
        <v>67</v>
      </c>
      <c r="B15" s="17" t="n">
        <f aca="false">Orbita!$B$10*2*Orbita!$B$14/360</f>
        <v>35.6103089866069</v>
      </c>
      <c r="C15" s="12" t="s">
        <v>56</v>
      </c>
      <c r="D15" s="12" t="s">
        <v>68</v>
      </c>
    </row>
    <row r="16" customFormat="false" ht="15" hidden="false" customHeight="true" outlineLevel="0" collapsed="false">
      <c r="A16" s="16" t="s">
        <v>69</v>
      </c>
      <c r="B16" s="20" t="n">
        <f aca="false">1-Orbita!$B$15/Orbita!$B$10</f>
        <v>0.627690454886397</v>
      </c>
      <c r="C16" s="12" t="s">
        <v>58</v>
      </c>
      <c r="D16" s="12"/>
    </row>
    <row r="17" customFormat="false" ht="15" hidden="false" customHeight="true" outlineLevel="0" collapsed="false">
      <c r="A17" s="12" t="s">
        <v>70</v>
      </c>
      <c r="B17" s="15" t="n">
        <f aca="false">2*PI()*Orbita!$B$5/Orbita!$B$11</f>
        <v>2661.78799842652</v>
      </c>
      <c r="C17" s="12" t="s">
        <v>45</v>
      </c>
      <c r="D17" s="12" t="s">
        <v>71</v>
      </c>
    </row>
    <row r="19" customFormat="false" ht="15" hidden="false" customHeight="true" outlineLevel="0" collapsed="false">
      <c r="A19" s="4" t="s">
        <v>72</v>
      </c>
    </row>
    <row r="20" customFormat="false" ht="15" hidden="false" customHeight="true" outlineLevel="0" collapsed="false">
      <c r="A20" s="11" t="s">
        <v>40</v>
      </c>
      <c r="B20" s="11" t="s">
        <v>73</v>
      </c>
      <c r="C20" s="11" t="s">
        <v>74</v>
      </c>
      <c r="D20" s="11" t="s">
        <v>43</v>
      </c>
    </row>
    <row r="21" customFormat="false" ht="15" hidden="false" customHeight="true" outlineLevel="0" collapsed="false">
      <c r="A21" s="12" t="s">
        <v>75</v>
      </c>
      <c r="B21" s="13" t="n">
        <v>10</v>
      </c>
      <c r="C21" s="13" t="n">
        <v>20</v>
      </c>
      <c r="D21" s="12" t="s">
        <v>76</v>
      </c>
    </row>
    <row r="22" customFormat="false" ht="15" hidden="false" customHeight="true" outlineLevel="0" collapsed="false">
      <c r="A22" s="12" t="s">
        <v>77</v>
      </c>
      <c r="B22" s="18" t="n">
        <f aca="false">DEGREES(ASIN(Orbita!$B$5/Orbita!$B$8*COS(RADIANS(Orbita!$B$21))))</f>
        <v>65.0431549382154</v>
      </c>
      <c r="C22" s="18" t="n">
        <f aca="false">DEGREES(ASIN(Orbita!$B$5/Orbita!$B$8*COS(RADIANS(Orbita!$C$21))))</f>
        <v>59.8932477113607</v>
      </c>
      <c r="D22" s="12" t="s">
        <v>78</v>
      </c>
    </row>
    <row r="23" customFormat="false" ht="15" hidden="false" customHeight="true" outlineLevel="0" collapsed="false">
      <c r="A23" s="12" t="s">
        <v>79</v>
      </c>
      <c r="B23" s="18" t="n">
        <f aca="false">90-Orbita!$B$21-Orbita!$B$22</f>
        <v>14.9568450617846</v>
      </c>
      <c r="C23" s="18" t="n">
        <f aca="false">90-Orbita!$C$21-Orbita!$C$22</f>
        <v>10.1067522886393</v>
      </c>
      <c r="D23" s="12" t="s">
        <v>80</v>
      </c>
    </row>
    <row r="24" customFormat="false" ht="15" hidden="false" customHeight="true" outlineLevel="0" collapsed="false">
      <c r="A24" s="16" t="s">
        <v>81</v>
      </c>
      <c r="B24" s="21" t="n">
        <f aca="false">Orbita!$B$5*SIN(RADIANS(Orbita!$B$23))/SIN(RADIANS(Orbita!$B$22))</f>
        <v>1815.64116900056</v>
      </c>
      <c r="C24" s="21" t="n">
        <f aca="false">Orbita!$B$5*SIN(RADIANS(Orbita!$C$23))/SIN(RADIANS(Orbita!$C$22))</f>
        <v>1293.76825247676</v>
      </c>
      <c r="D24" s="12" t="s">
        <v>82</v>
      </c>
    </row>
    <row r="25" customFormat="false" ht="15" hidden="false" customHeight="true" outlineLevel="0" collapsed="false">
      <c r="A25" s="12" t="s">
        <v>83</v>
      </c>
      <c r="B25" s="15" t="n">
        <f aca="false">Orbita!$B$5*RADIANS(Orbita!$B$23)</f>
        <v>1664.95261282344</v>
      </c>
      <c r="C25" s="15" t="n">
        <f aca="false">Orbita!$B$5*RADIANS(Orbita!$C$23)</f>
        <v>1125.05435207881</v>
      </c>
      <c r="D25" s="12"/>
    </row>
    <row r="26" customFormat="false" ht="15" hidden="false" customHeight="true" outlineLevel="0" collapsed="false">
      <c r="A26" s="12" t="s">
        <v>84</v>
      </c>
      <c r="B26" s="18" t="n">
        <f aca="false">2*2*Orbita!$B$25/Orbita!$B$17</f>
        <v>2.50200634131291</v>
      </c>
      <c r="C26" s="18" t="n">
        <f aca="false">2*2*Orbita!$C$25/Orbita!$B$17</f>
        <v>1.69067461833005</v>
      </c>
      <c r="D26" s="12" t="s">
        <v>85</v>
      </c>
    </row>
    <row r="27" customFormat="false" ht="15" hidden="false" customHeight="true" outlineLevel="0" collapsed="false">
      <c r="A27" s="12" t="s">
        <v>86</v>
      </c>
      <c r="B27" s="15" t="n">
        <f aca="false">Orbita!$B$9*2*Orbita!$B$23/360</f>
        <v>476.859359911064</v>
      </c>
      <c r="C27" s="15" t="n">
        <f aca="false">Orbita!$B$9*2*Orbita!$C$23/360</f>
        <v>322.227007582919</v>
      </c>
      <c r="D27" s="12" t="s">
        <v>87</v>
      </c>
    </row>
    <row r="28" customFormat="false" ht="15" hidden="false" customHeight="true" outlineLevel="0" collapsed="false">
      <c r="A28" s="12" t="s">
        <v>88</v>
      </c>
      <c r="B28" s="15" t="n">
        <f aca="false">Orbita!$B$27*PI()/4</f>
        <v>374.524465473032</v>
      </c>
      <c r="C28" s="15" t="n">
        <f aca="false">Orbita!$C$27*PI()/4</f>
        <v>253.07649995268</v>
      </c>
      <c r="D28" s="12" t="s">
        <v>89</v>
      </c>
    </row>
    <row r="29" customFormat="false" ht="15" hidden="false" customHeight="true" outlineLevel="0" collapsed="false">
      <c r="A29" s="12" t="s">
        <v>90</v>
      </c>
      <c r="B29" s="14" t="n">
        <v>2</v>
      </c>
      <c r="C29" s="14" t="n">
        <v>1.5</v>
      </c>
      <c r="D29" s="12" t="s">
        <v>91</v>
      </c>
    </row>
    <row r="30" customFormat="false" ht="15" hidden="false" customHeight="true" outlineLevel="0" collapsed="false">
      <c r="A30" s="12" t="s">
        <v>92</v>
      </c>
      <c r="B30" s="13" t="n">
        <v>300</v>
      </c>
      <c r="C30" s="13" t="n">
        <v>240</v>
      </c>
      <c r="D30" s="12" t="s">
        <v>93</v>
      </c>
    </row>
    <row r="31" customFormat="false" ht="15" hidden="false" customHeight="true" outlineLevel="0" collapsed="false">
      <c r="A31" s="16" t="s">
        <v>94</v>
      </c>
      <c r="B31" s="21" t="n">
        <f aca="false">Orbita!$B$29*Orbita!$B$30</f>
        <v>600</v>
      </c>
      <c r="C31" s="21" t="n">
        <f aca="false">Orbita!$C$29*Orbita!$C$30</f>
        <v>360</v>
      </c>
      <c r="D31" s="12"/>
    </row>
    <row r="33" customFormat="false" ht="15" hidden="false" customHeight="true" outlineLevel="0" collapsed="false">
      <c r="A33" s="4" t="s">
        <v>95</v>
      </c>
    </row>
    <row r="34" customFormat="false" ht="15" hidden="false" customHeight="true" outlineLevel="0" collapsed="false">
      <c r="A34" s="11" t="s">
        <v>40</v>
      </c>
      <c r="B34" s="11" t="s">
        <v>41</v>
      </c>
      <c r="C34" s="11" t="s">
        <v>42</v>
      </c>
      <c r="D34" s="11" t="s">
        <v>43</v>
      </c>
    </row>
    <row r="35" customFormat="false" ht="15" hidden="false" customHeight="true" outlineLevel="0" collapsed="false">
      <c r="A35" s="12" t="s">
        <v>96</v>
      </c>
      <c r="B35" s="13" t="n">
        <v>30</v>
      </c>
      <c r="C35" s="12" t="s">
        <v>65</v>
      </c>
      <c r="D35" s="12" t="s">
        <v>97</v>
      </c>
    </row>
    <row r="36" customFormat="false" ht="15" hidden="false" customHeight="true" outlineLevel="0" collapsed="false">
      <c r="A36" s="12" t="s">
        <v>98</v>
      </c>
      <c r="B36" s="13" t="n">
        <v>500</v>
      </c>
      <c r="C36" s="12" t="s">
        <v>45</v>
      </c>
      <c r="D36" s="12" t="s">
        <v>99</v>
      </c>
    </row>
    <row r="37" customFormat="false" ht="15" hidden="false" customHeight="true" outlineLevel="0" collapsed="false">
      <c r="A37" s="12" t="s">
        <v>100</v>
      </c>
      <c r="B37" s="19" t="n">
        <f aca="false">DEGREES(ACOS(SIN(RADIANS(Orbita!$B$35))*Orbita!$B$8/Orbita!$B$5))</f>
        <v>57.1039227240149</v>
      </c>
      <c r="C37" s="12" t="s">
        <v>65</v>
      </c>
      <c r="D37" s="12" t="s">
        <v>101</v>
      </c>
    </row>
    <row r="38" customFormat="false" ht="15" hidden="false" customHeight="true" outlineLevel="0" collapsed="false">
      <c r="A38" s="12" t="s">
        <v>102</v>
      </c>
      <c r="B38" s="18" t="n">
        <f aca="false">90-Orbita!$B$35-Orbita!$B$37</f>
        <v>2.8960772759851</v>
      </c>
      <c r="C38" s="12" t="s">
        <v>65</v>
      </c>
      <c r="D38" s="12"/>
    </row>
    <row r="39" customFormat="false" ht="15" hidden="false" customHeight="true" outlineLevel="0" collapsed="false">
      <c r="A39" s="12" t="s">
        <v>103</v>
      </c>
      <c r="B39" s="15" t="n">
        <f aca="false">Orbita!$B$5*RADIANS(Orbita!$B$38)</f>
        <v>322.382922847144</v>
      </c>
      <c r="C39" s="12" t="s">
        <v>45</v>
      </c>
      <c r="D39" s="12"/>
    </row>
    <row r="40" customFormat="false" ht="15" hidden="false" customHeight="true" outlineLevel="0" collapsed="false">
      <c r="A40" s="12" t="s">
        <v>104</v>
      </c>
      <c r="B40" s="15" t="n">
        <f aca="false">Orbita!$B$5*SIN(RADIANS(Orbita!$B$38))/SIN(RADIANS(Orbita!$B$35))</f>
        <v>644.491328013259</v>
      </c>
      <c r="C40" s="12" t="s">
        <v>45</v>
      </c>
      <c r="D40" s="12" t="s">
        <v>105</v>
      </c>
    </row>
    <row r="41" customFormat="false" ht="15" hidden="false" customHeight="true" outlineLevel="0" collapsed="false">
      <c r="A41" s="12" t="s">
        <v>106</v>
      </c>
      <c r="B41" s="22" t="n">
        <f aca="false">Camara_Datos!$B$13</f>
        <v>111.030857142857</v>
      </c>
      <c r="C41" s="12" t="s">
        <v>45</v>
      </c>
      <c r="D41" s="12" t="s">
        <v>107</v>
      </c>
    </row>
    <row r="42" customFormat="false" ht="15" hidden="false" customHeight="true" outlineLevel="0" collapsed="false">
      <c r="A42" s="12" t="s">
        <v>108</v>
      </c>
      <c r="B42" s="15" t="n">
        <f aca="false">Orbita!$B$36+Orbita!$B$41+2*Orbita!$B$39</f>
        <v>1255.79670283714</v>
      </c>
      <c r="C42" s="12" t="s">
        <v>45</v>
      </c>
      <c r="D42" s="12" t="s">
        <v>109</v>
      </c>
    </row>
    <row r="43" customFormat="false" ht="15" hidden="false" customHeight="true" outlineLevel="0" collapsed="false">
      <c r="A43" s="12" t="s">
        <v>110</v>
      </c>
      <c r="B43" s="18" t="n">
        <f aca="false">Orbita!$B$42/Orbita!$B$17</f>
        <v>0.471786897972149</v>
      </c>
      <c r="C43" s="12" t="s">
        <v>111</v>
      </c>
      <c r="D43" s="12" t="s">
        <v>112</v>
      </c>
    </row>
    <row r="44" customFormat="false" ht="15" hidden="false" customHeight="true" outlineLevel="0" collapsed="false">
      <c r="A44" s="16" t="s">
        <v>113</v>
      </c>
      <c r="B44" s="17" t="n">
        <f aca="false">Orbita!$B$43*7</f>
        <v>3.30250828580504</v>
      </c>
      <c r="C44" s="12" t="s">
        <v>114</v>
      </c>
      <c r="D44" s="1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2"/>
  </cols>
  <sheetData>
    <row r="1" customFormat="false" ht="15.75" hidden="false" customHeight="true" outlineLevel="0" collapsed="false">
      <c r="A1" s="2" t="s">
        <v>116</v>
      </c>
    </row>
    <row r="2" customFormat="false" ht="15" hidden="false" customHeight="true" outlineLevel="0" collapsed="false">
      <c r="A2" s="3" t="s">
        <v>117</v>
      </c>
    </row>
    <row r="4" customFormat="false" ht="15" hidden="false" customHeight="true" outlineLevel="0" collapsed="false">
      <c r="A4" s="11" t="s">
        <v>40</v>
      </c>
      <c r="B4" s="11" t="s">
        <v>41</v>
      </c>
      <c r="C4" s="11" t="s">
        <v>42</v>
      </c>
      <c r="D4" s="11" t="s">
        <v>43</v>
      </c>
    </row>
    <row r="5" customFormat="false" ht="15" hidden="false" customHeight="true" outlineLevel="0" collapsed="false">
      <c r="A5" s="12" t="s">
        <v>118</v>
      </c>
      <c r="B5" s="23" t="n">
        <v>3.45</v>
      </c>
      <c r="C5" s="12" t="s">
        <v>119</v>
      </c>
      <c r="D5" s="12" t="s">
        <v>120</v>
      </c>
    </row>
    <row r="6" customFormat="false" ht="15" hidden="false" customHeight="true" outlineLevel="0" collapsed="false">
      <c r="A6" s="12" t="s">
        <v>121</v>
      </c>
      <c r="B6" s="13" t="n">
        <v>35</v>
      </c>
      <c r="C6" s="12" t="s">
        <v>122</v>
      </c>
      <c r="D6" s="12" t="s">
        <v>123</v>
      </c>
    </row>
    <row r="7" customFormat="false" ht="15" hidden="false" customHeight="true" outlineLevel="0" collapsed="false">
      <c r="A7" s="12" t="s">
        <v>124</v>
      </c>
      <c r="B7" s="13" t="n">
        <v>2048</v>
      </c>
      <c r="C7" s="12" t="s">
        <v>125</v>
      </c>
      <c r="D7" s="12"/>
    </row>
    <row r="8" customFormat="false" ht="15" hidden="false" customHeight="true" outlineLevel="0" collapsed="false">
      <c r="A8" s="12" t="s">
        <v>126</v>
      </c>
      <c r="B8" s="13" t="n">
        <v>12</v>
      </c>
      <c r="C8" s="12" t="s">
        <v>127</v>
      </c>
      <c r="D8" s="12" t="s">
        <v>128</v>
      </c>
    </row>
    <row r="9" customFormat="false" ht="15" hidden="false" customHeight="true" outlineLevel="0" collapsed="false">
      <c r="A9" s="12" t="s">
        <v>129</v>
      </c>
      <c r="B9" s="13" t="n">
        <v>4</v>
      </c>
      <c r="C9" s="12" t="s">
        <v>58</v>
      </c>
      <c r="D9" s="12" t="s">
        <v>130</v>
      </c>
    </row>
    <row r="10" customFormat="false" ht="15" hidden="false" customHeight="true" outlineLevel="0" collapsed="false">
      <c r="A10" s="16" t="s">
        <v>131</v>
      </c>
      <c r="B10" s="17" t="n">
        <f aca="false">Camara_Datos!$B$5*0.000001*Orbita!$B$6*1000/(Camara_Datos!$B$6*0.001)</f>
        <v>54.2142857142857</v>
      </c>
      <c r="C10" s="12" t="s">
        <v>132</v>
      </c>
      <c r="D10" s="12" t="s">
        <v>133</v>
      </c>
    </row>
    <row r="11" customFormat="false" ht="15" hidden="false" customHeight="true" outlineLevel="0" collapsed="false">
      <c r="A11" s="12" t="s">
        <v>134</v>
      </c>
      <c r="B11" s="19" t="n">
        <f aca="false">Camara_Datos!$B$10*Orbita!$B$40/Orbita!$B$6</f>
        <v>63.5284309041641</v>
      </c>
      <c r="C11" s="12" t="s">
        <v>132</v>
      </c>
      <c r="D11" s="12" t="s">
        <v>135</v>
      </c>
    </row>
    <row r="12" customFormat="false" ht="15" hidden="false" customHeight="true" outlineLevel="0" collapsed="false">
      <c r="A12" s="12" t="s">
        <v>136</v>
      </c>
      <c r="B12" s="19" t="n">
        <f aca="false">Camara_Datos!$B$11/SIN(RADIANS(Orbita!$B$37))</f>
        <v>75.659974332043</v>
      </c>
      <c r="C12" s="12" t="s">
        <v>132</v>
      </c>
      <c r="D12" s="12" t="s">
        <v>137</v>
      </c>
    </row>
    <row r="13" customFormat="false" ht="15" hidden="false" customHeight="true" outlineLevel="0" collapsed="false">
      <c r="A13" s="16" t="s">
        <v>106</v>
      </c>
      <c r="B13" s="21" t="n">
        <f aca="false">Camara_Datos!$B$7*Camara_Datos!$B$10/1000</f>
        <v>111.030857142857</v>
      </c>
      <c r="C13" s="12" t="s">
        <v>45</v>
      </c>
      <c r="D13" s="12" t="s">
        <v>138</v>
      </c>
    </row>
    <row r="14" customFormat="false" ht="15" hidden="false" customHeight="true" outlineLevel="0" collapsed="false">
      <c r="A14" s="12" t="s">
        <v>139</v>
      </c>
      <c r="B14" s="19" t="n">
        <f aca="false">Camara_Datos!$B$7/Camara_Datos!$B$9*Camara_Datos!$B$10/1000</f>
        <v>27.7577142857143</v>
      </c>
      <c r="C14" s="12" t="s">
        <v>45</v>
      </c>
      <c r="D14" s="12"/>
    </row>
    <row r="15" customFormat="false" ht="15" hidden="false" customHeight="true" outlineLevel="0" collapsed="false">
      <c r="A15" s="12" t="s">
        <v>140</v>
      </c>
      <c r="B15" s="18" t="n">
        <f aca="false">Camara_Datos!$B$14/Orbita!$B$13</f>
        <v>3.97504582560859</v>
      </c>
      <c r="C15" s="12" t="s">
        <v>54</v>
      </c>
      <c r="D15" s="12" t="s">
        <v>141</v>
      </c>
    </row>
    <row r="16" customFormat="false" ht="15" hidden="false" customHeight="true" outlineLevel="0" collapsed="false">
      <c r="A16" s="12" t="s">
        <v>142</v>
      </c>
      <c r="B16" s="14" t="n">
        <v>3.5</v>
      </c>
      <c r="C16" s="12" t="s">
        <v>54</v>
      </c>
      <c r="D16" s="12" t="s">
        <v>143</v>
      </c>
    </row>
    <row r="17" customFormat="false" ht="15" hidden="false" customHeight="true" outlineLevel="0" collapsed="false">
      <c r="A17" s="12" t="s">
        <v>144</v>
      </c>
      <c r="B17" s="19" t="n">
        <f aca="false">Camara_Datos!$B$16*Orbita!$B$13</f>
        <v>24.4404729560887</v>
      </c>
      <c r="C17" s="12" t="s">
        <v>45</v>
      </c>
      <c r="D17" s="12"/>
    </row>
    <row r="18" customFormat="false" ht="15" hidden="false" customHeight="true" outlineLevel="0" collapsed="false">
      <c r="A18" s="12" t="s">
        <v>145</v>
      </c>
      <c r="B18" s="14" t="n">
        <v>2</v>
      </c>
      <c r="C18" s="12" t="s">
        <v>146</v>
      </c>
      <c r="D18" s="12" t="s">
        <v>147</v>
      </c>
    </row>
    <row r="19" customFormat="false" ht="15" hidden="false" customHeight="true" outlineLevel="0" collapsed="false">
      <c r="A19" s="12" t="s">
        <v>148</v>
      </c>
      <c r="B19" s="18" t="n">
        <f aca="false">Orbita!$B$13*1000*Camara_Datos!$B$18/1000/Camara_Datos!$B$10</f>
        <v>0.257607093081304</v>
      </c>
      <c r="C19" s="12" t="s">
        <v>149</v>
      </c>
      <c r="D19" s="12" t="s">
        <v>150</v>
      </c>
    </row>
    <row r="21" customFormat="false" ht="15" hidden="false" customHeight="true" outlineLevel="0" collapsed="false">
      <c r="A21" s="4" t="s">
        <v>151</v>
      </c>
    </row>
    <row r="22" customFormat="false" ht="15" hidden="false" customHeight="true" outlineLevel="0" collapsed="false">
      <c r="A22" s="11" t="s">
        <v>40</v>
      </c>
      <c r="B22" s="11" t="s">
        <v>41</v>
      </c>
      <c r="C22" s="11" t="s">
        <v>42</v>
      </c>
      <c r="D22" s="11" t="s">
        <v>43</v>
      </c>
    </row>
    <row r="23" customFormat="false" ht="15" hidden="false" customHeight="true" outlineLevel="0" collapsed="false">
      <c r="A23" s="12" t="s">
        <v>152</v>
      </c>
      <c r="B23" s="13" t="n">
        <v>250</v>
      </c>
      <c r="C23" s="12" t="s">
        <v>45</v>
      </c>
      <c r="D23" s="12" t="s">
        <v>153</v>
      </c>
    </row>
    <row r="24" customFormat="false" ht="15" hidden="false" customHeight="true" outlineLevel="0" collapsed="false">
      <c r="A24" s="12" t="s">
        <v>154</v>
      </c>
      <c r="B24" s="15" t="n">
        <f aca="false">ROUNDUP((Camara_Datos!$B$23+Camara_Datos!$B$13)/Camara_Datos!$B$17,0)+1</f>
        <v>16</v>
      </c>
      <c r="C24" s="12" t="s">
        <v>58</v>
      </c>
      <c r="D24" s="12" t="s">
        <v>155</v>
      </c>
    </row>
    <row r="25" customFormat="false" ht="15" hidden="false" customHeight="true" outlineLevel="0" collapsed="false">
      <c r="A25" s="12" t="s">
        <v>156</v>
      </c>
      <c r="B25" s="18" t="n">
        <f aca="false">Camara_Datos!$B$7^2*Camara_Datos!$B$8/8/1000000</f>
        <v>6.291456</v>
      </c>
      <c r="C25" s="12" t="s">
        <v>157</v>
      </c>
      <c r="D25" s="12"/>
    </row>
    <row r="26" customFormat="false" ht="15" hidden="false" customHeight="true" outlineLevel="0" collapsed="false">
      <c r="A26" s="16" t="s">
        <v>158</v>
      </c>
      <c r="B26" s="17" t="n">
        <f aca="false">Camara_Datos!$B$24*Camara_Datos!$B$25</f>
        <v>100.663296</v>
      </c>
      <c r="C26" s="12" t="s">
        <v>157</v>
      </c>
      <c r="D26" s="12"/>
    </row>
    <row r="27" customFormat="false" ht="15" hidden="false" customHeight="true" outlineLevel="0" collapsed="false">
      <c r="A27" s="12" t="s">
        <v>159</v>
      </c>
      <c r="B27" s="14" t="n">
        <v>2</v>
      </c>
      <c r="C27" s="12" t="s">
        <v>160</v>
      </c>
      <c r="D27" s="12" t="s">
        <v>161</v>
      </c>
    </row>
    <row r="28" customFormat="false" ht="15" hidden="false" customHeight="true" outlineLevel="0" collapsed="false">
      <c r="A28" s="16" t="s">
        <v>162</v>
      </c>
      <c r="B28" s="17" t="n">
        <f aca="false">Camara_Datos!$B$26/Camara_Datos!$B$27</f>
        <v>50.331648</v>
      </c>
      <c r="C28" s="12" t="s">
        <v>157</v>
      </c>
      <c r="D28" s="12"/>
    </row>
    <row r="29" customFormat="false" ht="15" hidden="false" customHeight="true" outlineLevel="0" collapsed="false">
      <c r="A29" s="12" t="s">
        <v>163</v>
      </c>
      <c r="B29" s="13" t="n">
        <v>64</v>
      </c>
      <c r="C29" s="12" t="s">
        <v>164</v>
      </c>
      <c r="D29" s="12" t="s">
        <v>165</v>
      </c>
    </row>
    <row r="30" customFormat="false" ht="15" hidden="false" customHeight="true" outlineLevel="0" collapsed="false">
      <c r="A30" s="12" t="s">
        <v>166</v>
      </c>
      <c r="B30" s="18" t="n">
        <f aca="false">Camara_Datos!$B$28/Camara_Datos!$B$29</f>
        <v>0.786432</v>
      </c>
      <c r="C30" s="12" t="s">
        <v>157</v>
      </c>
      <c r="D30" s="12"/>
    </row>
    <row r="31" customFormat="false" ht="15" hidden="false" customHeight="true" outlineLevel="0" collapsed="false">
      <c r="A31" s="12" t="s">
        <v>167</v>
      </c>
      <c r="B31" s="15" t="n">
        <f aca="false">Camara_Datos!$B$24*1</f>
        <v>16</v>
      </c>
      <c r="C31" s="12" t="s">
        <v>168</v>
      </c>
      <c r="D31" s="12" t="s">
        <v>169</v>
      </c>
    </row>
    <row r="32" customFormat="false" ht="15" hidden="false" customHeight="true" outlineLevel="0" collapsed="false">
      <c r="A32" s="12" t="s">
        <v>170</v>
      </c>
      <c r="B32" s="19" t="n">
        <f aca="false">Camara_Datos!$B$7^2/0.5/1000000</f>
        <v>8.388608</v>
      </c>
      <c r="C32" s="12" t="s">
        <v>171</v>
      </c>
      <c r="D32" s="12" t="s">
        <v>172</v>
      </c>
    </row>
    <row r="33" customFormat="false" ht="15" hidden="false" customHeight="true" outlineLevel="0" collapsed="false">
      <c r="A33" s="12" t="s">
        <v>173</v>
      </c>
      <c r="B33" s="19" t="n">
        <f aca="false">2*Camara_Datos!$B$25</f>
        <v>12.582912</v>
      </c>
      <c r="C33" s="12" t="s">
        <v>157</v>
      </c>
      <c r="D33" s="12" t="s">
        <v>174</v>
      </c>
    </row>
    <row r="34" customFormat="false" ht="15" hidden="false" customHeight="true" outlineLevel="0" collapsed="false">
      <c r="A34" s="12" t="s">
        <v>175</v>
      </c>
      <c r="B34" s="18" t="n">
        <f aca="false">Camara_Datos!$B$25/Camara_Datos!$B$16</f>
        <v>1.79755885714286</v>
      </c>
      <c r="C34" s="12" t="s">
        <v>176</v>
      </c>
      <c r="D34" s="12" t="s">
        <v>177</v>
      </c>
    </row>
    <row r="36" customFormat="false" ht="15" hidden="false" customHeight="true" outlineLevel="0" collapsed="false">
      <c r="A36" s="4" t="s">
        <v>178</v>
      </c>
    </row>
    <row r="37" customFormat="false" ht="15" hidden="false" customHeight="true" outlineLevel="0" collapsed="false">
      <c r="A37" s="11" t="s">
        <v>40</v>
      </c>
      <c r="B37" s="11" t="s">
        <v>41</v>
      </c>
      <c r="C37" s="11" t="s">
        <v>42</v>
      </c>
      <c r="D37" s="11" t="s">
        <v>43</v>
      </c>
    </row>
    <row r="38" customFormat="false" ht="15" hidden="false" customHeight="true" outlineLevel="0" collapsed="false">
      <c r="A38" s="12" t="s">
        <v>179</v>
      </c>
      <c r="B38" s="14" t="n">
        <v>3.5</v>
      </c>
      <c r="C38" s="12" t="s">
        <v>114</v>
      </c>
      <c r="D38" s="12" t="s">
        <v>180</v>
      </c>
    </row>
    <row r="39" customFormat="false" ht="15" hidden="false" customHeight="true" outlineLevel="0" collapsed="false">
      <c r="A39" s="12" t="s">
        <v>181</v>
      </c>
      <c r="B39" s="13" t="n">
        <v>182</v>
      </c>
      <c r="C39" s="12" t="s">
        <v>182</v>
      </c>
      <c r="D39" s="12" t="s">
        <v>183</v>
      </c>
    </row>
    <row r="40" customFormat="false" ht="15" hidden="false" customHeight="true" outlineLevel="0" collapsed="false">
      <c r="A40" s="12" t="s">
        <v>184</v>
      </c>
      <c r="B40" s="15" t="n">
        <f aca="false">Camara_Datos!$B$38*Camara_Datos!$B$39/7</f>
        <v>91</v>
      </c>
      <c r="C40" s="12" t="s">
        <v>58</v>
      </c>
      <c r="D40" s="12"/>
    </row>
    <row r="41" customFormat="false" ht="15" hidden="false" customHeight="true" outlineLevel="0" collapsed="false">
      <c r="A41" s="12" t="s">
        <v>185</v>
      </c>
      <c r="B41" s="13" t="n">
        <v>200</v>
      </c>
      <c r="C41" s="12" t="s">
        <v>186</v>
      </c>
      <c r="D41" s="12"/>
    </row>
    <row r="42" customFormat="false" ht="15" hidden="false" customHeight="true" outlineLevel="0" collapsed="false">
      <c r="A42" s="12" t="s">
        <v>187</v>
      </c>
      <c r="B42" s="13" t="n">
        <v>60</v>
      </c>
      <c r="C42" s="12" t="s">
        <v>54</v>
      </c>
      <c r="D42" s="12" t="s">
        <v>188</v>
      </c>
    </row>
    <row r="43" customFormat="false" ht="15" hidden="false" customHeight="true" outlineLevel="0" collapsed="false">
      <c r="A43" s="12" t="s">
        <v>189</v>
      </c>
      <c r="B43" s="24" t="n">
        <f aca="false">86400/Camara_Datos!$B$42*Camara_Datos!$B$41/1000000</f>
        <v>0.288</v>
      </c>
      <c r="C43" s="12" t="s">
        <v>190</v>
      </c>
      <c r="D43" s="12"/>
    </row>
    <row r="44" customFormat="false" ht="15" hidden="false" customHeight="true" outlineLevel="0" collapsed="false">
      <c r="A44" s="12" t="s">
        <v>191</v>
      </c>
      <c r="B44" s="19" t="n">
        <f aca="false">Camara_Datos!$B$28*Camara_Datos!$B$38/7</f>
        <v>25.165824</v>
      </c>
      <c r="C44" s="12" t="s">
        <v>190</v>
      </c>
      <c r="D44" s="12"/>
    </row>
    <row r="45" customFormat="false" ht="15" hidden="false" customHeight="true" outlineLevel="0" collapsed="false">
      <c r="A45" s="16" t="s">
        <v>192</v>
      </c>
      <c r="B45" s="17" t="n">
        <f aca="false">Camara_Datos!$B$44+Camara_Datos!$B$30*Camara_Datos!$B$38/7+Camara_Datos!$B$43</f>
        <v>25.84704</v>
      </c>
      <c r="C45" s="12" t="s">
        <v>190</v>
      </c>
      <c r="D45" s="12" t="s">
        <v>193</v>
      </c>
    </row>
    <row r="46" customFormat="false" ht="15" hidden="false" customHeight="true" outlineLevel="0" collapsed="false">
      <c r="A46" s="12" t="s">
        <v>194</v>
      </c>
      <c r="B46" s="19" t="n">
        <f aca="false">Camara_Datos!$B$26*Camara_Datos!$B$38/7</f>
        <v>50.331648</v>
      </c>
      <c r="C46" s="12" t="s">
        <v>190</v>
      </c>
      <c r="D46" s="12"/>
    </row>
    <row r="48" customFormat="false" ht="15" hidden="false" customHeight="true" outlineLevel="0" collapsed="false">
      <c r="A48" s="4" t="s">
        <v>195</v>
      </c>
    </row>
    <row r="49" customFormat="false" ht="15" hidden="false" customHeight="true" outlineLevel="0" collapsed="false">
      <c r="A49" s="11" t="s">
        <v>40</v>
      </c>
      <c r="B49" s="11" t="s">
        <v>41</v>
      </c>
      <c r="C49" s="11" t="s">
        <v>42</v>
      </c>
      <c r="D49" s="11" t="s">
        <v>43</v>
      </c>
    </row>
    <row r="50" customFormat="false" ht="15" hidden="false" customHeight="true" outlineLevel="0" collapsed="false">
      <c r="A50" s="12" t="s">
        <v>196</v>
      </c>
      <c r="B50" s="14" t="n">
        <v>2</v>
      </c>
      <c r="C50" s="12" t="s">
        <v>197</v>
      </c>
      <c r="D50" s="12" t="s">
        <v>198</v>
      </c>
    </row>
    <row r="51" customFormat="false" ht="15" hidden="false" customHeight="true" outlineLevel="0" collapsed="false">
      <c r="A51" s="12" t="s">
        <v>199</v>
      </c>
      <c r="B51" s="23" t="n">
        <v>0.8</v>
      </c>
      <c r="C51" s="12" t="s">
        <v>58</v>
      </c>
      <c r="D51" s="12" t="s">
        <v>200</v>
      </c>
    </row>
    <row r="52" customFormat="false" ht="15" hidden="false" customHeight="true" outlineLevel="0" collapsed="false">
      <c r="A52" s="16" t="s">
        <v>201</v>
      </c>
      <c r="B52" s="17" t="n">
        <f aca="false">Orbita!$C$31*Camara_Datos!$B$50*Camara_Datos!$B$51/8</f>
        <v>72</v>
      </c>
      <c r="C52" s="12" t="s">
        <v>190</v>
      </c>
      <c r="D52" s="12"/>
    </row>
    <row r="53" customFormat="false" ht="15" hidden="false" customHeight="true" outlineLevel="0" collapsed="false">
      <c r="A53" s="16" t="s">
        <v>202</v>
      </c>
      <c r="B53" s="25" t="n">
        <f aca="false">Camara_Datos!$B$52/Camara_Datos!$B$45</f>
        <v>2.78561877878473</v>
      </c>
      <c r="C53" s="12" t="s">
        <v>58</v>
      </c>
      <c r="D53" s="12" t="s">
        <v>203</v>
      </c>
    </row>
    <row r="54" customFormat="false" ht="15" hidden="false" customHeight="true" outlineLevel="0" collapsed="false">
      <c r="A54" s="12" t="s">
        <v>204</v>
      </c>
      <c r="B54" s="18" t="n">
        <f aca="false">Camara_Datos!$B$52/Camara_Datos!$B$46</f>
        <v>1.43051147460937</v>
      </c>
      <c r="C54" s="12" t="s">
        <v>58</v>
      </c>
      <c r="D54" s="12"/>
    </row>
    <row r="55" customFormat="false" ht="15" hidden="false" customHeight="true" outlineLevel="0" collapsed="false">
      <c r="A55" s="12" t="s">
        <v>205</v>
      </c>
      <c r="B55" s="18" t="n">
        <f aca="false">Camara_Datos!$B$46/(Camara_Datos!$B$52/2)</f>
        <v>1.39810133333333</v>
      </c>
      <c r="C55" s="12" t="s">
        <v>160</v>
      </c>
      <c r="D55" s="12" t="s">
        <v>206</v>
      </c>
    </row>
    <row r="56" customFormat="false" ht="15" hidden="false" customHeight="true" outlineLevel="0" collapsed="false">
      <c r="A56" s="12" t="s">
        <v>207</v>
      </c>
      <c r="B56" s="18" t="n">
        <f aca="false">Camara_Datos!$B$44*8/Orbita!$C$31</f>
        <v>0.559240533333334</v>
      </c>
      <c r="C56" s="12" t="s">
        <v>197</v>
      </c>
      <c r="D56" s="12"/>
    </row>
    <row r="58" customFormat="false" ht="15" hidden="false" customHeight="true" outlineLevel="0" collapsed="false">
      <c r="A58" s="4" t="s">
        <v>208</v>
      </c>
    </row>
    <row r="59" customFormat="false" ht="15" hidden="false" customHeight="true" outlineLevel="0" collapsed="false">
      <c r="A59" s="11" t="s">
        <v>40</v>
      </c>
      <c r="B59" s="11" t="s">
        <v>41</v>
      </c>
      <c r="C59" s="11" t="s">
        <v>42</v>
      </c>
      <c r="D59" s="11" t="s">
        <v>43</v>
      </c>
    </row>
    <row r="60" customFormat="false" ht="15" hidden="false" customHeight="true" outlineLevel="0" collapsed="false">
      <c r="A60" s="12" t="s">
        <v>209</v>
      </c>
      <c r="B60" s="13" t="n">
        <v>10</v>
      </c>
      <c r="C60" s="12" t="s">
        <v>58</v>
      </c>
      <c r="D60" s="12" t="s">
        <v>210</v>
      </c>
    </row>
    <row r="61" customFormat="false" ht="15" hidden="false" customHeight="true" outlineLevel="0" collapsed="false">
      <c r="A61" s="12" t="s">
        <v>211</v>
      </c>
      <c r="B61" s="18" t="n">
        <f aca="false">Camara_Datos!$B$60*Camara_Datos!$B$26/1000</f>
        <v>1.00663296</v>
      </c>
      <c r="C61" s="12" t="s">
        <v>212</v>
      </c>
      <c r="D61" s="12"/>
    </row>
    <row r="62" customFormat="false" ht="15" hidden="false" customHeight="true" outlineLevel="0" collapsed="false">
      <c r="A62" s="12" t="s">
        <v>213</v>
      </c>
      <c r="B62" s="18" t="n">
        <f aca="false">Camara_Datos!$B$60*Camara_Datos!$B$28/1000</f>
        <v>0.50331648</v>
      </c>
      <c r="C62" s="12" t="s">
        <v>212</v>
      </c>
      <c r="D62" s="12"/>
    </row>
    <row r="63" customFormat="false" ht="15" hidden="false" customHeight="true" outlineLevel="0" collapsed="false">
      <c r="A63" s="12" t="s">
        <v>214</v>
      </c>
      <c r="B63" s="24" t="n">
        <f aca="false">Camara_Datos!$B$60*Camara_Datos!$B$30/1000</f>
        <v>0.00786432</v>
      </c>
      <c r="C63" s="12" t="s">
        <v>212</v>
      </c>
      <c r="D63" s="12"/>
    </row>
    <row r="64" customFormat="false" ht="15" hidden="false" customHeight="true" outlineLevel="0" collapsed="false">
      <c r="A64" s="12" t="s">
        <v>215</v>
      </c>
      <c r="B64" s="13" t="n">
        <v>30</v>
      </c>
      <c r="C64" s="12" t="s">
        <v>182</v>
      </c>
      <c r="D64" s="12"/>
    </row>
    <row r="65" customFormat="false" ht="15" hidden="false" customHeight="true" outlineLevel="0" collapsed="false">
      <c r="A65" s="12" t="s">
        <v>216</v>
      </c>
      <c r="B65" s="24" t="n">
        <f aca="false">Camara_Datos!$B$43*Camara_Datos!$B$64/1000</f>
        <v>0.00864</v>
      </c>
      <c r="C65" s="12" t="s">
        <v>212</v>
      </c>
      <c r="D65" s="12"/>
    </row>
    <row r="66" customFormat="false" ht="15" hidden="false" customHeight="true" outlineLevel="0" collapsed="false">
      <c r="A66" s="12" t="s">
        <v>217</v>
      </c>
      <c r="B66" s="26" t="n">
        <v>0.005</v>
      </c>
      <c r="C66" s="12" t="s">
        <v>212</v>
      </c>
      <c r="D66" s="12" t="s">
        <v>218</v>
      </c>
    </row>
    <row r="67" customFormat="false" ht="15" hidden="false" customHeight="true" outlineLevel="0" collapsed="false">
      <c r="A67" s="16" t="s">
        <v>219</v>
      </c>
      <c r="B67" s="25" t="n">
        <f aca="false">Camara_Datos!$B$61+Camara_Datos!$B$62+Camara_Datos!$B$63+Camara_Datos!$B$65+Camara_Datos!$B$66</f>
        <v>1.53145376</v>
      </c>
      <c r="C67" s="12" t="s">
        <v>212</v>
      </c>
      <c r="D67" s="1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4"/>
    <col collapsed="false" customWidth="true" hidden="false" outlineLevel="0" max="5" min="5" style="1" width="60"/>
  </cols>
  <sheetData>
    <row r="1" customFormat="false" ht="15.75" hidden="false" customHeight="true" outlineLevel="0" collapsed="false">
      <c r="A1" s="2" t="s">
        <v>221</v>
      </c>
    </row>
    <row r="2" customFormat="false" ht="15" hidden="false" customHeight="true" outlineLevel="0" collapsed="false">
      <c r="A2" s="3" t="s">
        <v>222</v>
      </c>
    </row>
    <row r="4" customFormat="false" ht="15" hidden="false" customHeight="true" outlineLevel="0" collapsed="false">
      <c r="A4" s="11" t="s">
        <v>40</v>
      </c>
      <c r="B4" s="11" t="s">
        <v>223</v>
      </c>
      <c r="C4" s="11" t="s">
        <v>224</v>
      </c>
      <c r="D4" s="11" t="s">
        <v>225</v>
      </c>
      <c r="E4" s="11" t="s">
        <v>43</v>
      </c>
    </row>
    <row r="5" customFormat="false" ht="15" hidden="false" customHeight="true" outlineLevel="0" collapsed="false">
      <c r="A5" s="12" t="s">
        <v>226</v>
      </c>
      <c r="B5" s="13" t="n">
        <v>437</v>
      </c>
      <c r="C5" s="13" t="n">
        <v>2250</v>
      </c>
      <c r="D5" s="13" t="n">
        <v>437</v>
      </c>
      <c r="E5" s="12" t="s">
        <v>227</v>
      </c>
    </row>
    <row r="6" customFormat="false" ht="15" hidden="false" customHeight="true" outlineLevel="0" collapsed="false">
      <c r="A6" s="12" t="s">
        <v>228</v>
      </c>
      <c r="B6" s="22" t="n">
        <f aca="false">Orbita!$B$24</f>
        <v>1815.64116900056</v>
      </c>
      <c r="C6" s="22" t="n">
        <f aca="false">Orbita!$C$24</f>
        <v>1293.76825247676</v>
      </c>
      <c r="D6" s="22" t="n">
        <f aca="false">Orbita!$B$24</f>
        <v>1815.64116900056</v>
      </c>
      <c r="E6" s="12" t="s">
        <v>229</v>
      </c>
    </row>
    <row r="7" customFormat="false" ht="15" hidden="false" customHeight="true" outlineLevel="0" collapsed="false">
      <c r="A7" s="12" t="s">
        <v>230</v>
      </c>
      <c r="B7" s="14" t="n">
        <v>1</v>
      </c>
      <c r="C7" s="14" t="n">
        <v>1</v>
      </c>
      <c r="D7" s="14" t="n">
        <v>25</v>
      </c>
      <c r="E7" s="12" t="s">
        <v>231</v>
      </c>
    </row>
    <row r="8" customFormat="false" ht="15" hidden="false" customHeight="true" outlineLevel="0" collapsed="false">
      <c r="A8" s="12" t="s">
        <v>232</v>
      </c>
      <c r="B8" s="19" t="n">
        <f aca="false">10*LOG10(B7)</f>
        <v>0</v>
      </c>
      <c r="C8" s="19" t="n">
        <f aca="false">10*LOG10(C7)</f>
        <v>0</v>
      </c>
      <c r="D8" s="19" t="n">
        <f aca="false">10*LOG10(D7)</f>
        <v>13.9794000867204</v>
      </c>
      <c r="E8" s="12"/>
    </row>
    <row r="9" customFormat="false" ht="15" hidden="false" customHeight="true" outlineLevel="0" collapsed="false">
      <c r="A9" s="12" t="s">
        <v>233</v>
      </c>
      <c r="B9" s="14" t="n">
        <v>0.5</v>
      </c>
      <c r="C9" s="14" t="n">
        <v>1</v>
      </c>
      <c r="D9" s="14" t="n">
        <v>2</v>
      </c>
      <c r="E9" s="12"/>
    </row>
    <row r="10" customFormat="false" ht="15" hidden="false" customHeight="true" outlineLevel="0" collapsed="false">
      <c r="A10" s="12" t="s">
        <v>234</v>
      </c>
      <c r="B10" s="14" t="n">
        <v>0</v>
      </c>
      <c r="C10" s="14" t="n">
        <v>1</v>
      </c>
      <c r="D10" s="14" t="n">
        <v>14</v>
      </c>
      <c r="E10" s="12" t="s">
        <v>235</v>
      </c>
    </row>
    <row r="11" customFormat="false" ht="15" hidden="false" customHeight="true" outlineLevel="0" collapsed="false">
      <c r="A11" s="12" t="s">
        <v>236</v>
      </c>
      <c r="B11" s="19" t="n">
        <f aca="false">B8-B9+B10</f>
        <v>-0.5</v>
      </c>
      <c r="C11" s="19" t="n">
        <f aca="false">C8-C9+C10</f>
        <v>0</v>
      </c>
      <c r="D11" s="19" t="n">
        <f aca="false">D8-D9+D10</f>
        <v>25.9794000867204</v>
      </c>
      <c r="E11" s="12"/>
    </row>
    <row r="12" customFormat="false" ht="15" hidden="false" customHeight="true" outlineLevel="0" collapsed="false">
      <c r="A12" s="12" t="s">
        <v>237</v>
      </c>
      <c r="B12" s="19" t="n">
        <f aca="false">32.45+20*LOG10(B5)+20*LOG10(B6)</f>
        <v>150.440229172434</v>
      </c>
      <c r="C12" s="19" t="n">
        <f aca="false">32.45+20*LOG10(C5)+20*LOG10(C6)</f>
        <v>161.730780159604</v>
      </c>
      <c r="D12" s="19" t="n">
        <f aca="false">32.45+20*LOG10(D5)+20*LOG10(D6)</f>
        <v>150.440229172434</v>
      </c>
      <c r="E12" s="12" t="s">
        <v>238</v>
      </c>
    </row>
    <row r="13" customFormat="false" ht="15" hidden="false" customHeight="true" outlineLevel="0" collapsed="false">
      <c r="A13" s="12" t="s">
        <v>239</v>
      </c>
      <c r="B13" s="14" t="n">
        <v>4.5</v>
      </c>
      <c r="C13" s="14" t="n">
        <v>2</v>
      </c>
      <c r="D13" s="14" t="n">
        <v>4.5</v>
      </c>
      <c r="E13" s="12" t="s">
        <v>240</v>
      </c>
    </row>
    <row r="14" customFormat="false" ht="15" hidden="false" customHeight="true" outlineLevel="0" collapsed="false">
      <c r="A14" s="12" t="s">
        <v>241</v>
      </c>
      <c r="B14" s="19" t="s">
        <v>58</v>
      </c>
      <c r="C14" s="14" t="n">
        <v>2.4</v>
      </c>
      <c r="D14" s="19" t="s">
        <v>58</v>
      </c>
      <c r="E14" s="12" t="s">
        <v>242</v>
      </c>
    </row>
    <row r="15" customFormat="false" ht="15" hidden="false" customHeight="true" outlineLevel="0" collapsed="false">
      <c r="A15" s="12" t="s">
        <v>243</v>
      </c>
      <c r="B15" s="18" t="s">
        <v>58</v>
      </c>
      <c r="C15" s="23" t="n">
        <v>0.55</v>
      </c>
      <c r="D15" s="18" t="s">
        <v>58</v>
      </c>
      <c r="E15" s="12"/>
    </row>
    <row r="16" customFormat="false" ht="15" hidden="false" customHeight="true" outlineLevel="0" collapsed="false">
      <c r="A16" s="12" t="s">
        <v>244</v>
      </c>
      <c r="B16" s="14" t="n">
        <v>14</v>
      </c>
      <c r="C16" s="19" t="n">
        <f aca="false">10*LOG10(C15*(PI()*C14/(300/C5))^2)</f>
        <v>32.4520744508912</v>
      </c>
      <c r="D16" s="14" t="n">
        <v>0</v>
      </c>
      <c r="E16" s="12" t="s">
        <v>245</v>
      </c>
    </row>
    <row r="17" customFormat="false" ht="15" hidden="false" customHeight="true" outlineLevel="0" collapsed="false">
      <c r="A17" s="12" t="s">
        <v>246</v>
      </c>
      <c r="B17" s="14" t="n">
        <v>0</v>
      </c>
      <c r="C17" s="14" t="n">
        <v>0</v>
      </c>
      <c r="D17" s="14" t="n">
        <v>0.5</v>
      </c>
      <c r="E17" s="12"/>
    </row>
    <row r="18" customFormat="false" ht="15" hidden="false" customHeight="true" outlineLevel="0" collapsed="false">
      <c r="A18" s="12" t="s">
        <v>247</v>
      </c>
      <c r="B18" s="13" t="n">
        <v>600</v>
      </c>
      <c r="C18" s="13" t="n">
        <v>200</v>
      </c>
      <c r="D18" s="13" t="n">
        <v>730</v>
      </c>
      <c r="E18" s="12" t="s">
        <v>248</v>
      </c>
    </row>
    <row r="19" customFormat="false" ht="15" hidden="false" customHeight="true" outlineLevel="0" collapsed="false">
      <c r="A19" s="12" t="s">
        <v>249</v>
      </c>
      <c r="B19" s="19" t="n">
        <f aca="false">B16-B17-10*LOG10(B18)</f>
        <v>-13.7815125038364</v>
      </c>
      <c r="C19" s="19" t="n">
        <f aca="false">C16-C17-10*LOG10(C18)</f>
        <v>9.44177449425142</v>
      </c>
      <c r="D19" s="19" t="n">
        <f aca="false">D16-D17-10*LOG10(D18)</f>
        <v>-29.1332286012046</v>
      </c>
      <c r="E19" s="12"/>
    </row>
    <row r="20" customFormat="false" ht="15" hidden="false" customHeight="true" outlineLevel="0" collapsed="false">
      <c r="A20" s="12" t="s">
        <v>250</v>
      </c>
      <c r="B20" s="19" t="n">
        <f aca="false">B11-B12-B13+B19+228.6</f>
        <v>59.3782583237299</v>
      </c>
      <c r="C20" s="19" t="n">
        <f aca="false">C11-C12-C13+C19+228.6</f>
        <v>74.3109943346475</v>
      </c>
      <c r="D20" s="19" t="n">
        <f aca="false">D11-D12-D13+D19+228.6</f>
        <v>70.5059423130822</v>
      </c>
      <c r="E20" s="12"/>
    </row>
    <row r="21" customFormat="false" ht="15" hidden="false" customHeight="true" outlineLevel="0" collapsed="false">
      <c r="A21" s="12" t="s">
        <v>251</v>
      </c>
      <c r="B21" s="14" t="n">
        <v>9.6</v>
      </c>
      <c r="C21" s="27" t="n">
        <f aca="false">Camara_Datos!$B$50*1000</f>
        <v>2000</v>
      </c>
      <c r="D21" s="14" t="n">
        <v>9.6</v>
      </c>
      <c r="E21" s="12" t="s">
        <v>252</v>
      </c>
    </row>
    <row r="22" customFormat="false" ht="15" hidden="false" customHeight="true" outlineLevel="0" collapsed="false">
      <c r="A22" s="12" t="s">
        <v>253</v>
      </c>
      <c r="B22" s="19" t="n">
        <f aca="false">B20-10*LOG10(B21*1000)</f>
        <v>19.5555459933343</v>
      </c>
      <c r="C22" s="19" t="n">
        <f aca="false">C20-10*LOG10(C21*1000)</f>
        <v>11.3006943780076</v>
      </c>
      <c r="D22" s="19" t="n">
        <f aca="false">D20-10*LOG10(D21*1000)</f>
        <v>30.6832299826865</v>
      </c>
      <c r="E22" s="12"/>
    </row>
    <row r="23" customFormat="false" ht="23.25" hidden="false" customHeight="true" outlineLevel="0" collapsed="false">
      <c r="A23" s="12" t="s">
        <v>254</v>
      </c>
      <c r="B23" s="14" t="n">
        <v>14</v>
      </c>
      <c r="C23" s="14" t="n">
        <v>7</v>
      </c>
      <c r="D23" s="14" t="n">
        <v>14</v>
      </c>
      <c r="E23" s="12" t="s">
        <v>255</v>
      </c>
    </row>
    <row r="24" customFormat="false" ht="15" hidden="false" customHeight="true" outlineLevel="0" collapsed="false">
      <c r="A24" s="16" t="s">
        <v>256</v>
      </c>
      <c r="B24" s="17" t="n">
        <f aca="false">B22-B23</f>
        <v>5.55554599333426</v>
      </c>
      <c r="C24" s="17" t="n">
        <f aca="false">C22-C23</f>
        <v>4.30069437800765</v>
      </c>
      <c r="D24" s="17" t="n">
        <f aca="false">D22-D23</f>
        <v>16.6832299826865</v>
      </c>
      <c r="E24" s="12" t="s">
        <v>257</v>
      </c>
    </row>
    <row r="25" customFormat="false" ht="15" hidden="false" customHeight="true" outlineLevel="0" collapsed="false">
      <c r="A25" s="12" t="s">
        <v>258</v>
      </c>
      <c r="B25" s="19" t="str">
        <f aca="false">IF(B24&gt;=3,"Sí","No")</f>
        <v>Sí</v>
      </c>
      <c r="C25" s="19" t="str">
        <f aca="false">IF(C24&gt;=3,"Sí","No")</f>
        <v>Sí</v>
      </c>
      <c r="D25" s="19" t="str">
        <f aca="false">IF(D24&gt;=3,"Sí","No")</f>
        <v>Sí</v>
      </c>
      <c r="E25" s="12"/>
    </row>
    <row r="27" customFormat="false" ht="15" hidden="false" customHeight="true" outlineLevel="0" collapsed="false">
      <c r="A27" s="4" t="s">
        <v>259</v>
      </c>
    </row>
    <row r="28" customFormat="false" ht="15" hidden="false" customHeight="true" outlineLevel="0" collapsed="false">
      <c r="A28" s="12" t="s">
        <v>260</v>
      </c>
      <c r="B28" s="22" t="n">
        <f aca="false">Orbita!$B$31</f>
        <v>600</v>
      </c>
    </row>
    <row r="29" customFormat="false" ht="23.25" hidden="false" customHeight="true" outlineLevel="0" collapsed="false">
      <c r="A29" s="12" t="s">
        <v>261</v>
      </c>
      <c r="B29" s="15" t="n">
        <f aca="false">B28*9.6*0.6/8</f>
        <v>432</v>
      </c>
      <c r="E29" s="12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44"/>
  </cols>
  <sheetData>
    <row r="1" customFormat="false" ht="15.75" hidden="false" customHeight="true" outlineLevel="0" collapsed="false">
      <c r="A1" s="2" t="s">
        <v>263</v>
      </c>
    </row>
    <row r="4" customFormat="false" ht="15" hidden="false" customHeight="true" outlineLevel="0" collapsed="false">
      <c r="A4" s="11" t="s">
        <v>40</v>
      </c>
      <c r="B4" s="11" t="s">
        <v>41</v>
      </c>
      <c r="C4" s="11" t="s">
        <v>42</v>
      </c>
      <c r="D4" s="11" t="s">
        <v>43</v>
      </c>
    </row>
    <row r="5" customFormat="false" ht="34.5" hidden="false" customHeight="true" outlineLevel="0" collapsed="false">
      <c r="A5" s="12" t="s">
        <v>264</v>
      </c>
      <c r="B5" s="14" t="n">
        <v>30.2</v>
      </c>
      <c r="C5" s="12" t="s">
        <v>265</v>
      </c>
      <c r="D5" s="12" t="s">
        <v>266</v>
      </c>
    </row>
    <row r="6" customFormat="false" ht="34.5" hidden="false" customHeight="true" outlineLevel="0" collapsed="false">
      <c r="A6" s="12" t="s">
        <v>267</v>
      </c>
      <c r="B6" s="23" t="n">
        <v>0.28</v>
      </c>
      <c r="C6" s="12" t="s">
        <v>58</v>
      </c>
      <c r="D6" s="12" t="s">
        <v>268</v>
      </c>
    </row>
    <row r="7" customFormat="false" ht="15" hidden="false" customHeight="true" outlineLevel="0" collapsed="false">
      <c r="A7" s="12" t="s">
        <v>269</v>
      </c>
      <c r="B7" s="13" t="n">
        <v>1361</v>
      </c>
      <c r="C7" s="12" t="s">
        <v>270</v>
      </c>
      <c r="D7" s="12"/>
    </row>
    <row r="8" customFormat="false" ht="15" hidden="false" customHeight="true" outlineLevel="0" collapsed="false">
      <c r="A8" s="12" t="s">
        <v>271</v>
      </c>
      <c r="B8" s="18" t="n">
        <f aca="false">Potencia_Masa!$B$7*Potencia_Masa!$B$5/10000*Potencia_Masa!$B$6</f>
        <v>1.1508616</v>
      </c>
      <c r="C8" s="12" t="s">
        <v>272</v>
      </c>
      <c r="D8" s="12"/>
    </row>
    <row r="9" customFormat="false" ht="15" hidden="false" customHeight="true" outlineLevel="0" collapsed="false">
      <c r="A9" s="12" t="s">
        <v>273</v>
      </c>
      <c r="B9" s="23" t="n">
        <v>0.92</v>
      </c>
      <c r="C9" s="12" t="s">
        <v>58</v>
      </c>
      <c r="D9" s="12"/>
    </row>
    <row r="10" customFormat="false" ht="15" hidden="false" customHeight="true" outlineLevel="0" collapsed="false">
      <c r="A10" s="12" t="s">
        <v>274</v>
      </c>
      <c r="B10" s="23" t="n">
        <v>0.98</v>
      </c>
      <c r="C10" s="12" t="s">
        <v>58</v>
      </c>
      <c r="D10" s="12"/>
    </row>
    <row r="11" customFormat="false" ht="15" hidden="false" customHeight="true" outlineLevel="0" collapsed="false">
      <c r="A11" s="12" t="s">
        <v>275</v>
      </c>
      <c r="B11" s="23" t="n">
        <v>0.9</v>
      </c>
      <c r="C11" s="12" t="s">
        <v>58</v>
      </c>
      <c r="D11" s="12"/>
    </row>
    <row r="12" customFormat="false" ht="15" hidden="false" customHeight="true" outlineLevel="0" collapsed="false">
      <c r="A12" s="12" t="s">
        <v>276</v>
      </c>
      <c r="B12" s="23" t="n">
        <v>0.97</v>
      </c>
      <c r="C12" s="12" t="s">
        <v>58</v>
      </c>
      <c r="D12" s="12"/>
    </row>
    <row r="13" customFormat="false" ht="15" hidden="false" customHeight="true" outlineLevel="0" collapsed="false">
      <c r="A13" s="12" t="s">
        <v>277</v>
      </c>
      <c r="B13" s="13" t="n">
        <v>2</v>
      </c>
      <c r="C13" s="12" t="s">
        <v>58</v>
      </c>
      <c r="D13" s="12"/>
    </row>
    <row r="14" customFormat="false" ht="15" hidden="false" customHeight="true" outlineLevel="0" collapsed="false">
      <c r="A14" s="12" t="s">
        <v>278</v>
      </c>
      <c r="B14" s="18" t="n">
        <f aca="false">Potencia_Masa!$B$8*Potencia_Masa!$B$13*Potencia_Masa!$B$9*Potencia_Masa!$B$10*Potencia_Masa!$B$11*Potencia_Masa!$B$12</f>
        <v>1.81167896520576</v>
      </c>
      <c r="C14" s="12" t="s">
        <v>272</v>
      </c>
      <c r="D14" s="12"/>
    </row>
    <row r="15" customFormat="false" ht="23.25" hidden="false" customHeight="true" outlineLevel="0" collapsed="false">
      <c r="A15" s="12" t="s">
        <v>279</v>
      </c>
      <c r="B15" s="24" t="n">
        <f aca="false">SQRT(3)</f>
        <v>1.73205080756888</v>
      </c>
      <c r="C15" s="12" t="s">
        <v>58</v>
      </c>
      <c r="D15" s="12" t="s">
        <v>280</v>
      </c>
    </row>
    <row r="16" customFormat="false" ht="45.75" hidden="false" customHeight="true" outlineLevel="0" collapsed="false">
      <c r="A16" s="12" t="s">
        <v>281</v>
      </c>
      <c r="B16" s="23" t="n">
        <v>0.95</v>
      </c>
      <c r="C16" s="12" t="s">
        <v>58</v>
      </c>
      <c r="D16" s="12" t="s">
        <v>282</v>
      </c>
    </row>
    <row r="17" customFormat="false" ht="15" hidden="false" customHeight="true" outlineLevel="0" collapsed="false">
      <c r="A17" s="12" t="s">
        <v>283</v>
      </c>
      <c r="B17" s="18" t="n">
        <f aca="false">Potencia_Masa!$B$14*Potencia_Masa!$B$15*Potencia_Masa!$B$16</f>
        <v>2.98102401400318</v>
      </c>
      <c r="C17" s="12" t="s">
        <v>272</v>
      </c>
      <c r="D17" s="12"/>
    </row>
    <row r="18" customFormat="false" ht="23.25" hidden="false" customHeight="true" outlineLevel="0" collapsed="false">
      <c r="A18" s="16" t="s">
        <v>284</v>
      </c>
      <c r="B18" s="25" t="n">
        <f aca="false">Potencia_Masa!$B$17*Orbita!$B$16</f>
        <v>1.87116031937693</v>
      </c>
      <c r="C18" s="12" t="s">
        <v>272</v>
      </c>
      <c r="D18" s="12" t="s">
        <v>285</v>
      </c>
    </row>
    <row r="19" customFormat="false" ht="23.25" hidden="false" customHeight="true" outlineLevel="0" collapsed="false">
      <c r="A19" s="12" t="s">
        <v>286</v>
      </c>
      <c r="B19" s="14" t="n">
        <v>0.5</v>
      </c>
      <c r="C19" s="12" t="s">
        <v>287</v>
      </c>
      <c r="D19" s="12" t="s">
        <v>288</v>
      </c>
    </row>
    <row r="20" customFormat="false" ht="15" hidden="false" customHeight="true" outlineLevel="0" collapsed="false">
      <c r="A20" s="16" t="s">
        <v>289</v>
      </c>
      <c r="B20" s="17" t="n">
        <f aca="false">Potencia_Masa!$B$18*24-Potencia_Masa!$B$19</f>
        <v>44.4078476650462</v>
      </c>
      <c r="C20" s="12" t="s">
        <v>287</v>
      </c>
      <c r="D20" s="12"/>
    </row>
    <row r="22" customFormat="false" ht="15" hidden="false" customHeight="true" outlineLevel="0" collapsed="false">
      <c r="A22" s="4" t="s">
        <v>290</v>
      </c>
    </row>
    <row r="23" customFormat="false" ht="23.25" hidden="false" customHeight="true" outlineLevel="0" collapsed="false">
      <c r="A23" s="11" t="s">
        <v>291</v>
      </c>
      <c r="B23" s="11" t="s">
        <v>292</v>
      </c>
      <c r="C23" s="11" t="s">
        <v>293</v>
      </c>
      <c r="D23" s="11" t="s">
        <v>294</v>
      </c>
      <c r="E23" s="11" t="s">
        <v>295</v>
      </c>
      <c r="F23" s="11" t="s">
        <v>296</v>
      </c>
      <c r="G23" s="11" t="s">
        <v>297</v>
      </c>
      <c r="H23" s="11" t="s">
        <v>298</v>
      </c>
    </row>
    <row r="24" customFormat="false" ht="15" hidden="false" customHeight="true" outlineLevel="0" collapsed="false">
      <c r="A24" s="12" t="s">
        <v>299</v>
      </c>
      <c r="B24" s="23" t="n">
        <v>0.4</v>
      </c>
      <c r="C24" s="23" t="n">
        <v>0.9</v>
      </c>
      <c r="D24" s="28" t="n">
        <v>1</v>
      </c>
      <c r="E24" s="18" t="n">
        <f aca="false">B24*D24*24</f>
        <v>9.6</v>
      </c>
      <c r="F24" s="23" t="n">
        <v>0.06</v>
      </c>
      <c r="G24" s="12" t="s">
        <v>300</v>
      </c>
      <c r="H24" s="12" t="s">
        <v>301</v>
      </c>
    </row>
    <row r="25" customFormat="false" ht="15" hidden="false" customHeight="true" outlineLevel="0" collapsed="false">
      <c r="A25" s="12" t="s">
        <v>302</v>
      </c>
      <c r="B25" s="23" t="n">
        <v>0.15</v>
      </c>
      <c r="C25" s="23" t="n">
        <v>0.2</v>
      </c>
      <c r="D25" s="28" t="n">
        <v>1</v>
      </c>
      <c r="E25" s="18" t="n">
        <f aca="false">B25*D25*24</f>
        <v>3.6</v>
      </c>
      <c r="F25" s="23" t="n">
        <v>0</v>
      </c>
      <c r="G25" s="12" t="s">
        <v>303</v>
      </c>
      <c r="H25" s="12" t="s">
        <v>304</v>
      </c>
    </row>
    <row r="26" customFormat="false" ht="15" hidden="false" customHeight="true" outlineLevel="0" collapsed="false">
      <c r="A26" s="12" t="s">
        <v>305</v>
      </c>
      <c r="B26" s="23" t="n">
        <v>0.45</v>
      </c>
      <c r="C26" s="23" t="n">
        <v>0.45</v>
      </c>
      <c r="D26" s="28" t="n">
        <v>0.33</v>
      </c>
      <c r="E26" s="18" t="n">
        <f aca="false">B26*D26*24</f>
        <v>3.564</v>
      </c>
      <c r="F26" s="23" t="n">
        <v>0.06</v>
      </c>
      <c r="G26" s="12" t="s">
        <v>306</v>
      </c>
      <c r="H26" s="12" t="s">
        <v>307</v>
      </c>
    </row>
    <row r="27" customFormat="false" ht="15" hidden="false" customHeight="true" outlineLevel="0" collapsed="false">
      <c r="A27" s="12" t="s">
        <v>308</v>
      </c>
      <c r="B27" s="23" t="n">
        <v>0.3</v>
      </c>
      <c r="C27" s="23" t="n">
        <v>1.2</v>
      </c>
      <c r="D27" s="28" t="n">
        <v>0.06</v>
      </c>
      <c r="E27" s="18" t="n">
        <f aca="false">B27*D27*24</f>
        <v>0.432</v>
      </c>
      <c r="F27" s="23" t="n">
        <v>0.15</v>
      </c>
      <c r="G27" s="12" t="s">
        <v>306</v>
      </c>
      <c r="H27" s="12" t="s">
        <v>304</v>
      </c>
    </row>
    <row r="28" customFormat="false" ht="15" hidden="false" customHeight="true" outlineLevel="0" collapsed="false">
      <c r="A28" s="12" t="s">
        <v>309</v>
      </c>
      <c r="B28" s="23" t="n">
        <v>0.15</v>
      </c>
      <c r="C28" s="23" t="n">
        <v>0.2</v>
      </c>
      <c r="D28" s="28" t="n">
        <v>1</v>
      </c>
      <c r="E28" s="18" t="n">
        <f aca="false">B28*D28*24</f>
        <v>3.6</v>
      </c>
      <c r="F28" s="23" t="n">
        <v>0.18</v>
      </c>
      <c r="G28" s="12" t="s">
        <v>310</v>
      </c>
      <c r="H28" s="12"/>
    </row>
    <row r="29" customFormat="false" ht="15" hidden="false" customHeight="true" outlineLevel="0" collapsed="false">
      <c r="A29" s="12" t="s">
        <v>311</v>
      </c>
      <c r="B29" s="23" t="n">
        <v>0.5</v>
      </c>
      <c r="C29" s="23" t="n">
        <v>0.5</v>
      </c>
      <c r="D29" s="28" t="n">
        <v>0.2</v>
      </c>
      <c r="E29" s="18" t="n">
        <f aca="false">B29*D29*24</f>
        <v>2.4</v>
      </c>
      <c r="F29" s="23" t="n">
        <v>0</v>
      </c>
      <c r="G29" s="12" t="s">
        <v>312</v>
      </c>
      <c r="H29" s="12" t="s">
        <v>313</v>
      </c>
    </row>
    <row r="30" customFormat="false" ht="15" hidden="false" customHeight="true" outlineLevel="0" collapsed="false">
      <c r="A30" s="12" t="s">
        <v>314</v>
      </c>
      <c r="B30" s="23" t="n">
        <v>0.25</v>
      </c>
      <c r="C30" s="23" t="n">
        <v>0.3</v>
      </c>
      <c r="D30" s="28" t="n">
        <v>1</v>
      </c>
      <c r="E30" s="18" t="n">
        <f aca="false">B30*D30*24</f>
        <v>6</v>
      </c>
      <c r="F30" s="23" t="n">
        <v>0.13</v>
      </c>
      <c r="G30" s="12" t="s">
        <v>315</v>
      </c>
      <c r="H30" s="12" t="s">
        <v>316</v>
      </c>
    </row>
    <row r="31" customFormat="false" ht="15" hidden="false" customHeight="true" outlineLevel="0" collapsed="false">
      <c r="A31" s="12" t="s">
        <v>317</v>
      </c>
      <c r="B31" s="23" t="n">
        <v>2</v>
      </c>
      <c r="C31" s="23" t="n">
        <v>2.5</v>
      </c>
      <c r="D31" s="28" t="n">
        <v>0.04</v>
      </c>
      <c r="E31" s="18" t="n">
        <f aca="false">B31*D31*24</f>
        <v>1.92</v>
      </c>
      <c r="F31" s="23" t="n">
        <v>0</v>
      </c>
      <c r="G31" s="12" t="s">
        <v>318</v>
      </c>
      <c r="H31" s="12" t="s">
        <v>319</v>
      </c>
    </row>
    <row r="32" customFormat="false" ht="15" hidden="false" customHeight="true" outlineLevel="0" collapsed="false">
      <c r="A32" s="12" t="s">
        <v>320</v>
      </c>
      <c r="B32" s="23" t="n">
        <v>6</v>
      </c>
      <c r="C32" s="23" t="n">
        <v>8</v>
      </c>
      <c r="D32" s="28" t="n">
        <f aca="false">10/1440</f>
        <v>0.00694444444444444</v>
      </c>
      <c r="E32" s="18" t="n">
        <f aca="false">B32*D32*24</f>
        <v>1</v>
      </c>
      <c r="F32" s="23" t="n">
        <v>0</v>
      </c>
      <c r="G32" s="12" t="s">
        <v>318</v>
      </c>
      <c r="H32" s="12" t="s">
        <v>321</v>
      </c>
    </row>
    <row r="33" customFormat="false" ht="23.25" hidden="false" customHeight="true" outlineLevel="0" collapsed="false">
      <c r="A33" s="12" t="s">
        <v>322</v>
      </c>
      <c r="B33" s="23" t="n">
        <v>1.5</v>
      </c>
      <c r="C33" s="23" t="n">
        <v>2</v>
      </c>
      <c r="D33" s="28" t="n">
        <f aca="false">2.5/1440</f>
        <v>0.00173611111111111</v>
      </c>
      <c r="E33" s="18" t="n">
        <f aca="false">B33*D33*24</f>
        <v>0.0625</v>
      </c>
      <c r="F33" s="23" t="n">
        <v>0.2</v>
      </c>
      <c r="G33" s="12" t="s">
        <v>323</v>
      </c>
      <c r="H33" s="12" t="s">
        <v>324</v>
      </c>
    </row>
    <row r="34" customFormat="false" ht="15" hidden="false" customHeight="true" outlineLevel="0" collapsed="false">
      <c r="A34" s="16" t="s">
        <v>325</v>
      </c>
      <c r="E34" s="29" t="n">
        <f aca="false">SUM(E24:E33)</f>
        <v>32.1785</v>
      </c>
    </row>
    <row r="35" customFormat="false" ht="15" hidden="false" customHeight="true" outlineLevel="0" collapsed="false">
      <c r="A35" s="12" t="s">
        <v>326</v>
      </c>
      <c r="D35" s="30" t="n">
        <v>0.12</v>
      </c>
      <c r="E35" s="18" t="n">
        <f aca="false">E34*D35</f>
        <v>3.86142</v>
      </c>
      <c r="H35" s="12" t="s">
        <v>327</v>
      </c>
    </row>
    <row r="36" customFormat="false" ht="15" hidden="false" customHeight="true" outlineLevel="0" collapsed="false">
      <c r="A36" s="12" t="s">
        <v>328</v>
      </c>
      <c r="F36" s="23" t="n">
        <f aca="false">0.12+0.2+0.12+0.08</f>
        <v>0.52</v>
      </c>
      <c r="G36" s="12" t="s">
        <v>329</v>
      </c>
      <c r="H36" s="12" t="s">
        <v>330</v>
      </c>
    </row>
    <row r="37" customFormat="false" ht="15" hidden="false" customHeight="true" outlineLevel="0" collapsed="false">
      <c r="A37" s="16" t="s">
        <v>331</v>
      </c>
      <c r="E37" s="17" t="n">
        <f aca="false">E34+E35</f>
        <v>36.03992</v>
      </c>
      <c r="F37" s="25" t="n">
        <f aca="false">SUM(F24:F36)</f>
        <v>1.3</v>
      </c>
    </row>
    <row r="38" customFormat="false" ht="15" hidden="false" customHeight="true" outlineLevel="0" collapsed="false">
      <c r="A38" s="12" t="s">
        <v>332</v>
      </c>
      <c r="E38" s="18" t="n">
        <f aca="false">Potencia_Masa!$E$37/24</f>
        <v>1.50166333333333</v>
      </c>
    </row>
    <row r="39" customFormat="false" ht="15" hidden="false" customHeight="true" outlineLevel="0" collapsed="false">
      <c r="A39" s="12" t="s">
        <v>333</v>
      </c>
      <c r="E39" s="19" t="n">
        <f aca="false">Potencia_Masa!$B$20</f>
        <v>44.4078476650462</v>
      </c>
    </row>
    <row r="40" customFormat="false" ht="15" hidden="false" customHeight="true" outlineLevel="0" collapsed="false">
      <c r="A40" s="16" t="s">
        <v>334</v>
      </c>
      <c r="E40" s="31" t="n">
        <f aca="false">Potencia_Masa!$B$20/Potencia_Masa!$E$37-1</f>
        <v>0.232184967809202</v>
      </c>
      <c r="H40" s="12" t="s">
        <v>335</v>
      </c>
    </row>
    <row r="41" customFormat="false" ht="15" hidden="false" customHeight="true" outlineLevel="0" collapsed="false">
      <c r="A41" s="12" t="s">
        <v>336</v>
      </c>
      <c r="E41" s="12" t="str">
        <f aca="false">IF(Potencia_Masa!$E$40&gt;=0.2,"Sí","No")</f>
        <v>Sí</v>
      </c>
    </row>
    <row r="43" customFormat="false" ht="15" hidden="false" customHeight="true" outlineLevel="0" collapsed="false">
      <c r="A43" s="4" t="s">
        <v>337</v>
      </c>
    </row>
    <row r="44" customFormat="false" ht="15" hidden="false" customHeight="true" outlineLevel="0" collapsed="false">
      <c r="A44" s="11" t="s">
        <v>40</v>
      </c>
      <c r="B44" s="11" t="s">
        <v>41</v>
      </c>
      <c r="C44" s="11" t="s">
        <v>42</v>
      </c>
      <c r="D44" s="11" t="s">
        <v>43</v>
      </c>
    </row>
    <row r="45" customFormat="false" ht="57" hidden="false" customHeight="true" outlineLevel="0" collapsed="false">
      <c r="A45" s="12" t="s">
        <v>338</v>
      </c>
      <c r="B45" s="18" t="n">
        <f aca="false">B24+B25+B26*D26+B28+B30+B29+B31/30</f>
        <v>1.66516666666667</v>
      </c>
      <c r="C45" s="12" t="s">
        <v>272</v>
      </c>
      <c r="D45" s="12" t="s">
        <v>339</v>
      </c>
    </row>
    <row r="46" customFormat="false" ht="15" hidden="false" customHeight="true" outlineLevel="0" collapsed="false">
      <c r="A46" s="12" t="s">
        <v>340</v>
      </c>
      <c r="B46" s="18" t="n">
        <f aca="false">Potencia_Masa!$B$45*(1+D35)*Orbita!$B$15/60</f>
        <v>1.1068791909317</v>
      </c>
      <c r="C46" s="12" t="s">
        <v>341</v>
      </c>
      <c r="D46" s="12"/>
    </row>
    <row r="47" customFormat="false" ht="45.75" hidden="false" customHeight="true" outlineLevel="0" collapsed="false">
      <c r="A47" s="12" t="s">
        <v>342</v>
      </c>
      <c r="B47" s="18" t="n">
        <f aca="false">(B32*10/60+B27*15/60+B31*4/60)*(1+D35)</f>
        <v>1.35333333333333</v>
      </c>
      <c r="C47" s="12" t="s">
        <v>341</v>
      </c>
      <c r="D47" s="12" t="s">
        <v>343</v>
      </c>
    </row>
    <row r="48" customFormat="false" ht="15" hidden="false" customHeight="true" outlineLevel="0" collapsed="false">
      <c r="A48" s="16" t="s">
        <v>344</v>
      </c>
      <c r="B48" s="25" t="n">
        <f aca="false">Potencia_Masa!$B$46+Potencia_Masa!$B$47</f>
        <v>2.46021252426503</v>
      </c>
      <c r="C48" s="12" t="s">
        <v>341</v>
      </c>
      <c r="D48" s="12"/>
    </row>
    <row r="49" customFormat="false" ht="15" hidden="false" customHeight="true" outlineLevel="0" collapsed="false">
      <c r="A49" s="12" t="s">
        <v>345</v>
      </c>
      <c r="B49" s="14" t="n">
        <v>3.6</v>
      </c>
      <c r="C49" s="12" t="s">
        <v>346</v>
      </c>
      <c r="D49" s="12" t="s">
        <v>347</v>
      </c>
    </row>
    <row r="50" customFormat="false" ht="34.5" hidden="false" customHeight="true" outlineLevel="0" collapsed="false">
      <c r="A50" s="12" t="s">
        <v>348</v>
      </c>
      <c r="B50" s="14" t="n">
        <v>3.2</v>
      </c>
      <c r="C50" s="12" t="s">
        <v>349</v>
      </c>
      <c r="D50" s="12" t="s">
        <v>350</v>
      </c>
    </row>
    <row r="51" customFormat="false" ht="23.25" hidden="false" customHeight="true" outlineLevel="0" collapsed="false">
      <c r="A51" s="12" t="s">
        <v>351</v>
      </c>
      <c r="B51" s="13" t="n">
        <v>2</v>
      </c>
      <c r="C51" s="12" t="s">
        <v>58</v>
      </c>
      <c r="D51" s="12" t="s">
        <v>352</v>
      </c>
    </row>
    <row r="52" customFormat="false" ht="23.25" hidden="false" customHeight="true" outlineLevel="0" collapsed="false">
      <c r="A52" s="12" t="s">
        <v>353</v>
      </c>
      <c r="B52" s="19" t="n">
        <f aca="false">Potencia_Masa!$B$49*Potencia_Masa!$B$50*Potencia_Masa!$B$51</f>
        <v>23.04</v>
      </c>
      <c r="C52" s="12" t="s">
        <v>341</v>
      </c>
      <c r="D52" s="12" t="s">
        <v>354</v>
      </c>
    </row>
    <row r="53" customFormat="false" ht="15" hidden="false" customHeight="true" outlineLevel="0" collapsed="false">
      <c r="A53" s="12" t="s">
        <v>355</v>
      </c>
      <c r="B53" s="30" t="n">
        <v>0.9</v>
      </c>
      <c r="C53" s="12" t="s">
        <v>58</v>
      </c>
      <c r="D53" s="12"/>
    </row>
    <row r="54" customFormat="false" ht="15" hidden="false" customHeight="true" outlineLevel="0" collapsed="false">
      <c r="A54" s="12" t="s">
        <v>356</v>
      </c>
      <c r="B54" s="19" t="n">
        <f aca="false">Potencia_Masa!$B$52*Potencia_Masa!$B$53</f>
        <v>20.736</v>
      </c>
      <c r="C54" s="12" t="s">
        <v>341</v>
      </c>
      <c r="D54" s="12"/>
    </row>
    <row r="55" customFormat="false" ht="15" hidden="false" customHeight="true" outlineLevel="0" collapsed="false">
      <c r="A55" s="12" t="s">
        <v>357</v>
      </c>
      <c r="B55" s="32" t="n">
        <f aca="false">Potencia_Masa!$B$46/Potencia_Masa!$B$54</f>
        <v>0.0533795906120612</v>
      </c>
      <c r="C55" s="12" t="s">
        <v>58</v>
      </c>
      <c r="D55" s="12"/>
    </row>
    <row r="56" customFormat="false" ht="23.25" hidden="false" customHeight="true" outlineLevel="0" collapsed="false">
      <c r="A56" s="16" t="s">
        <v>358</v>
      </c>
      <c r="B56" s="31" t="n">
        <f aca="false">Potencia_Masa!$B$48/Potencia_Masa!$B$54</f>
        <v>0.118644508307534</v>
      </c>
      <c r="C56" s="12" t="s">
        <v>58</v>
      </c>
      <c r="D56" s="12" t="s">
        <v>359</v>
      </c>
    </row>
    <row r="57" customFormat="false" ht="15" hidden="false" customHeight="true" outlineLevel="0" collapsed="false">
      <c r="A57" s="12" t="s">
        <v>360</v>
      </c>
      <c r="B57" s="19" t="n">
        <f aca="false">Potencia_Masa!$B$48/0.2</f>
        <v>12.3010626213252</v>
      </c>
      <c r="C57" s="12" t="s">
        <v>341</v>
      </c>
      <c r="D57" s="12" t="s">
        <v>361</v>
      </c>
    </row>
    <row r="58" customFormat="false" ht="79.5" hidden="false" customHeight="true" outlineLevel="0" collapsed="false">
      <c r="A58" s="12" t="s">
        <v>362</v>
      </c>
      <c r="B58" s="18" t="n">
        <f aca="false">(C32+C27+C33)/5</f>
        <v>2.24</v>
      </c>
      <c r="C58" s="12" t="s">
        <v>363</v>
      </c>
      <c r="D58" s="12" t="s">
        <v>364</v>
      </c>
    </row>
    <row r="60" customFormat="false" ht="15" hidden="false" customHeight="true" outlineLevel="0" collapsed="false">
      <c r="A60" s="4" t="s">
        <v>365</v>
      </c>
    </row>
    <row r="61" customFormat="false" ht="23.25" hidden="false" customHeight="true" outlineLevel="0" collapsed="false">
      <c r="A61" s="11" t="s">
        <v>366</v>
      </c>
      <c r="B61" s="11" t="s">
        <v>296</v>
      </c>
      <c r="C61" s="11" t="s">
        <v>367</v>
      </c>
      <c r="D61" s="11" t="s">
        <v>368</v>
      </c>
    </row>
    <row r="62" customFormat="false" ht="15" hidden="false" customHeight="true" outlineLevel="0" collapsed="false">
      <c r="A62" s="12" t="s">
        <v>369</v>
      </c>
      <c r="B62" s="23" t="n">
        <v>0.12</v>
      </c>
      <c r="C62" s="14" t="n">
        <v>56.75</v>
      </c>
      <c r="D62" s="18" t="n">
        <f aca="false">B62*C62</f>
        <v>6.81</v>
      </c>
    </row>
    <row r="63" customFormat="false" ht="15" hidden="false" customHeight="true" outlineLevel="0" collapsed="false">
      <c r="A63" s="12" t="s">
        <v>370</v>
      </c>
      <c r="B63" s="23" t="n">
        <v>0.2</v>
      </c>
      <c r="C63" s="14" t="n">
        <v>56.75</v>
      </c>
      <c r="D63" s="18" t="n">
        <f aca="false">B63*C63</f>
        <v>11.35</v>
      </c>
    </row>
    <row r="64" customFormat="false" ht="15" hidden="false" customHeight="true" outlineLevel="0" collapsed="false">
      <c r="A64" s="12" t="s">
        <v>371</v>
      </c>
      <c r="B64" s="23" t="n">
        <v>0.2</v>
      </c>
      <c r="C64" s="14" t="n">
        <v>26</v>
      </c>
      <c r="D64" s="18" t="n">
        <f aca="false">B64*C64</f>
        <v>5.2</v>
      </c>
    </row>
    <row r="65" customFormat="false" ht="15" hidden="false" customHeight="true" outlineLevel="0" collapsed="false">
      <c r="A65" s="12" t="s">
        <v>308</v>
      </c>
      <c r="B65" s="23" t="n">
        <v>0.15</v>
      </c>
      <c r="C65" s="14" t="n">
        <v>22</v>
      </c>
      <c r="D65" s="18" t="n">
        <f aca="false">B65*C65</f>
        <v>3.3</v>
      </c>
    </row>
    <row r="66" customFormat="false" ht="15" hidden="false" customHeight="true" outlineLevel="0" collapsed="false">
      <c r="A66" s="12" t="s">
        <v>305</v>
      </c>
      <c r="B66" s="23" t="n">
        <v>0.06</v>
      </c>
      <c r="C66" s="14" t="n">
        <v>15</v>
      </c>
      <c r="D66" s="18" t="n">
        <f aca="false">B66*C66</f>
        <v>0.9</v>
      </c>
    </row>
    <row r="67" customFormat="false" ht="15" hidden="false" customHeight="true" outlineLevel="0" collapsed="false">
      <c r="A67" s="12" t="s">
        <v>372</v>
      </c>
      <c r="B67" s="23" t="n">
        <v>0.04</v>
      </c>
      <c r="C67" s="14" t="n">
        <v>2</v>
      </c>
      <c r="D67" s="18" t="n">
        <f aca="false">B67*C67</f>
        <v>0.08</v>
      </c>
    </row>
    <row r="68" customFormat="false" ht="15" hidden="false" customHeight="true" outlineLevel="0" collapsed="false">
      <c r="A68" s="12" t="s">
        <v>373</v>
      </c>
      <c r="B68" s="23" t="n">
        <v>0.06</v>
      </c>
      <c r="C68" s="14" t="n">
        <v>52</v>
      </c>
      <c r="D68" s="18" t="n">
        <f aca="false">B68*C68</f>
        <v>3.12</v>
      </c>
    </row>
    <row r="69" customFormat="false" ht="15" hidden="false" customHeight="true" outlineLevel="0" collapsed="false">
      <c r="A69" s="12" t="s">
        <v>374</v>
      </c>
      <c r="B69" s="23" t="n">
        <v>0.18</v>
      </c>
      <c r="C69" s="14" t="n">
        <v>70.5</v>
      </c>
      <c r="D69" s="18" t="n">
        <f aca="false">B69*C69</f>
        <v>12.69</v>
      </c>
    </row>
    <row r="70" customFormat="false" ht="15" hidden="false" customHeight="true" outlineLevel="0" collapsed="false">
      <c r="A70" s="12" t="s">
        <v>375</v>
      </c>
      <c r="B70" s="23" t="n">
        <v>0.13</v>
      </c>
      <c r="C70" s="14" t="n">
        <v>90.5</v>
      </c>
      <c r="D70" s="18" t="n">
        <f aca="false">B70*C70</f>
        <v>11.765</v>
      </c>
    </row>
    <row r="71" customFormat="false" ht="15" hidden="false" customHeight="true" outlineLevel="0" collapsed="false">
      <c r="A71" s="12" t="s">
        <v>376</v>
      </c>
      <c r="B71" s="23" t="n">
        <v>0.08</v>
      </c>
      <c r="C71" s="14" t="n">
        <v>109.5</v>
      </c>
      <c r="D71" s="18" t="n">
        <f aca="false">B71*C71</f>
        <v>8.76</v>
      </c>
    </row>
    <row r="72" customFormat="false" ht="15" hidden="false" customHeight="true" outlineLevel="0" collapsed="false">
      <c r="A72" s="12" t="s">
        <v>377</v>
      </c>
      <c r="B72" s="23" t="n">
        <v>0.08</v>
      </c>
      <c r="C72" s="14" t="n">
        <v>56.75</v>
      </c>
      <c r="D72" s="18" t="n">
        <f aca="false">B72*C72</f>
        <v>4.54</v>
      </c>
    </row>
    <row r="73" customFormat="false" ht="45.75" hidden="false" customHeight="true" outlineLevel="0" collapsed="false">
      <c r="A73" s="12" t="s">
        <v>378</v>
      </c>
      <c r="B73" s="18" t="n">
        <f aca="false">SUM(B62:B72)</f>
        <v>1.3</v>
      </c>
      <c r="C73" s="12" t="s">
        <v>379</v>
      </c>
      <c r="D73" s="12" t="s">
        <v>380</v>
      </c>
    </row>
    <row r="74" customFormat="false" ht="15" hidden="false" customHeight="true" outlineLevel="0" collapsed="false">
      <c r="A74" s="12" t="s">
        <v>381</v>
      </c>
      <c r="B74" s="30" t="n">
        <v>0.2</v>
      </c>
      <c r="C74" s="12" t="s">
        <v>58</v>
      </c>
      <c r="D74" s="12"/>
    </row>
    <row r="75" customFormat="false" ht="45.75" hidden="false" customHeight="true" outlineLevel="0" collapsed="false">
      <c r="A75" s="16" t="s">
        <v>382</v>
      </c>
      <c r="B75" s="25" t="n">
        <f aca="false">Potencia_Masa!$B$73*(1+Potencia_Masa!$B$74)</f>
        <v>1.56</v>
      </c>
      <c r="C75" s="12" t="s">
        <v>379</v>
      </c>
      <c r="D75" s="12" t="s">
        <v>383</v>
      </c>
    </row>
    <row r="76" customFormat="false" ht="15" hidden="false" customHeight="true" outlineLevel="0" collapsed="false">
      <c r="A76" s="12" t="s">
        <v>384</v>
      </c>
      <c r="B76" s="19" t="n">
        <f aca="false">SUM(D62:D72)/Potencia_Masa!$B$73</f>
        <v>52.7038461538462</v>
      </c>
      <c r="C76" s="12" t="s">
        <v>122</v>
      </c>
      <c r="D76" s="12"/>
    </row>
    <row r="77" customFormat="false" ht="23.25" hidden="false" customHeight="true" outlineLevel="0" collapsed="false">
      <c r="A77" s="16" t="s">
        <v>385</v>
      </c>
      <c r="B77" s="17" t="n">
        <f aca="false">Potencia_Masa!$B$76-113.5/2</f>
        <v>-4.04615384615385</v>
      </c>
      <c r="C77" s="12" t="s">
        <v>122</v>
      </c>
      <c r="D77" s="12" t="s">
        <v>386</v>
      </c>
    </row>
    <row r="78" customFormat="false" ht="15" hidden="false" customHeight="true" outlineLevel="0" collapsed="false">
      <c r="A78" s="12" t="s">
        <v>387</v>
      </c>
      <c r="B78" s="13" t="n">
        <v>40</v>
      </c>
      <c r="C78" s="12" t="s">
        <v>122</v>
      </c>
      <c r="D78" s="12"/>
    </row>
    <row r="79" customFormat="false" ht="15" hidden="false" customHeight="true" outlineLevel="0" collapsed="false">
      <c r="A79" s="12" t="s">
        <v>388</v>
      </c>
      <c r="B79" s="13" t="n">
        <v>12</v>
      </c>
      <c r="C79" s="12" t="s">
        <v>122</v>
      </c>
      <c r="D79" s="12"/>
    </row>
    <row r="80" customFormat="false" ht="34.5" hidden="false" customHeight="true" outlineLevel="0" collapsed="false">
      <c r="A80" s="12" t="s">
        <v>389</v>
      </c>
      <c r="B80" s="13" t="n">
        <v>25</v>
      </c>
      <c r="C80" s="12" t="s">
        <v>122</v>
      </c>
      <c r="D80" s="12" t="s">
        <v>390</v>
      </c>
    </row>
    <row r="81" customFormat="false" ht="15" hidden="false" customHeight="true" outlineLevel="0" collapsed="false">
      <c r="A81" s="12" t="s">
        <v>391</v>
      </c>
      <c r="B81" s="13" t="n">
        <v>15</v>
      </c>
      <c r="C81" s="12" t="s">
        <v>122</v>
      </c>
      <c r="D81" s="12"/>
    </row>
    <row r="82" customFormat="false" ht="15" hidden="false" customHeight="true" outlineLevel="0" collapsed="false">
      <c r="A82" s="12" t="s">
        <v>392</v>
      </c>
      <c r="B82" s="13" t="n">
        <v>96</v>
      </c>
      <c r="C82" s="12" t="s">
        <v>122</v>
      </c>
      <c r="D82" s="12" t="s">
        <v>393</v>
      </c>
    </row>
    <row r="83" customFormat="false" ht="23.25" hidden="false" customHeight="true" outlineLevel="0" collapsed="false">
      <c r="A83" s="16" t="s">
        <v>394</v>
      </c>
      <c r="B83" s="21" t="n">
        <f aca="false">Potencia_Masa!$B$82-(Potencia_Masa!$B$78+Potencia_Masa!$B$79+Potencia_Masa!$B$80+Potencia_Masa!$B$81)</f>
        <v>4</v>
      </c>
      <c r="C83" s="12" t="s">
        <v>122</v>
      </c>
      <c r="D83" s="12" t="s">
        <v>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50"/>
  </cols>
  <sheetData>
    <row r="1" customFormat="false" ht="15.75" hidden="false" customHeight="true" outlineLevel="0" collapsed="false">
      <c r="A1" s="2" t="s">
        <v>396</v>
      </c>
    </row>
    <row r="4" customFormat="false" ht="15" hidden="false" customHeight="true" outlineLevel="0" collapsed="false">
      <c r="A4" s="11" t="s">
        <v>40</v>
      </c>
      <c r="B4" s="11" t="s">
        <v>41</v>
      </c>
      <c r="C4" s="11" t="s">
        <v>42</v>
      </c>
      <c r="D4" s="11" t="s">
        <v>43</v>
      </c>
    </row>
    <row r="5" customFormat="false" ht="23.25" hidden="false" customHeight="true" outlineLevel="0" collapsed="false">
      <c r="A5" s="12" t="s">
        <v>397</v>
      </c>
      <c r="B5" s="13" t="n">
        <v>200</v>
      </c>
      <c r="C5" s="12" t="s">
        <v>398</v>
      </c>
      <c r="D5" s="12" t="s">
        <v>399</v>
      </c>
    </row>
    <row r="7" customFormat="false" ht="23.25" hidden="false" customHeight="true" outlineLevel="0" collapsed="false">
      <c r="A7" s="11" t="s">
        <v>400</v>
      </c>
      <c r="B7" s="11" t="s">
        <v>401</v>
      </c>
      <c r="C7" s="11" t="s">
        <v>402</v>
      </c>
      <c r="D7" s="11" t="s">
        <v>403</v>
      </c>
      <c r="E7" s="11" t="s">
        <v>404</v>
      </c>
      <c r="F7" s="11" t="s">
        <v>36</v>
      </c>
    </row>
    <row r="8" customFormat="false" ht="15" hidden="false" customHeight="true" outlineLevel="0" collapsed="false">
      <c r="A8" s="12" t="s">
        <v>405</v>
      </c>
      <c r="B8" s="13" t="n">
        <v>10</v>
      </c>
      <c r="C8" s="13" t="n">
        <v>300</v>
      </c>
      <c r="D8" s="19" t="n">
        <f aca="false">B8*C8/1000</f>
        <v>3</v>
      </c>
      <c r="E8" s="32" t="n">
        <f aca="false">D8/Procesamiento!$B$5</f>
        <v>0.015</v>
      </c>
      <c r="F8" s="12" t="s">
        <v>406</v>
      </c>
    </row>
    <row r="9" customFormat="false" ht="15" hidden="false" customHeight="true" outlineLevel="0" collapsed="false">
      <c r="A9" s="12" t="s">
        <v>407</v>
      </c>
      <c r="B9" s="13" t="n">
        <v>10</v>
      </c>
      <c r="C9" s="13" t="n">
        <v>20</v>
      </c>
      <c r="D9" s="19" t="n">
        <f aca="false">B9*C9/1000</f>
        <v>0.2</v>
      </c>
      <c r="E9" s="32" t="n">
        <f aca="false">D9/Procesamiento!$B$5</f>
        <v>0.001</v>
      </c>
      <c r="F9" s="12"/>
    </row>
    <row r="10" customFormat="false" ht="15" hidden="false" customHeight="true" outlineLevel="0" collapsed="false">
      <c r="A10" s="12" t="s">
        <v>408</v>
      </c>
      <c r="B10" s="13" t="n">
        <v>1</v>
      </c>
      <c r="C10" s="13" t="n">
        <v>400</v>
      </c>
      <c r="D10" s="19" t="n">
        <f aca="false">B10*C10/1000</f>
        <v>0.4</v>
      </c>
      <c r="E10" s="32" t="n">
        <f aca="false">D10/Procesamiento!$B$5</f>
        <v>0.002</v>
      </c>
      <c r="F10" s="12"/>
    </row>
    <row r="11" customFormat="false" ht="15" hidden="false" customHeight="true" outlineLevel="0" collapsed="false">
      <c r="A11" s="12" t="s">
        <v>409</v>
      </c>
      <c r="B11" s="13" t="n">
        <v>1</v>
      </c>
      <c r="C11" s="13" t="n">
        <v>2000</v>
      </c>
      <c r="D11" s="19" t="n">
        <f aca="false">B11*C11/1000</f>
        <v>2</v>
      </c>
      <c r="E11" s="32" t="n">
        <f aca="false">D11/Procesamiento!$B$5</f>
        <v>0.01</v>
      </c>
      <c r="F11" s="12" t="s">
        <v>410</v>
      </c>
    </row>
    <row r="12" customFormat="false" ht="15" hidden="false" customHeight="true" outlineLevel="0" collapsed="false">
      <c r="A12" s="12" t="s">
        <v>411</v>
      </c>
      <c r="B12" s="13" t="n">
        <v>1</v>
      </c>
      <c r="C12" s="13" t="n">
        <v>20000</v>
      </c>
      <c r="D12" s="19" t="n">
        <f aca="false">B12*C12/1000</f>
        <v>20</v>
      </c>
      <c r="E12" s="32" t="n">
        <f aca="false">D12/Procesamiento!$B$5</f>
        <v>0.1</v>
      </c>
      <c r="F12" s="12" t="s">
        <v>412</v>
      </c>
    </row>
    <row r="13" customFormat="false" ht="15" hidden="false" customHeight="true" outlineLevel="0" collapsed="false">
      <c r="A13" s="12" t="s">
        <v>413</v>
      </c>
      <c r="B13" s="13" t="n">
        <v>1</v>
      </c>
      <c r="C13" s="13" t="n">
        <v>5000</v>
      </c>
      <c r="D13" s="19" t="n">
        <f aca="false">B13*C13/1000</f>
        <v>5</v>
      </c>
      <c r="E13" s="32" t="n">
        <f aca="false">D13/Procesamiento!$B$5</f>
        <v>0.025</v>
      </c>
      <c r="F13" s="12" t="s">
        <v>414</v>
      </c>
    </row>
    <row r="14" customFormat="false" ht="15" hidden="false" customHeight="true" outlineLevel="0" collapsed="false">
      <c r="A14" s="16" t="s">
        <v>415</v>
      </c>
      <c r="D14" s="33" t="n">
        <f aca="false">SUM(D8:D11)</f>
        <v>5.6</v>
      </c>
      <c r="E14" s="31" t="n">
        <f aca="false">D14/Procesamiento!$B$5</f>
        <v>0.028</v>
      </c>
    </row>
    <row r="15" customFormat="false" ht="15" hidden="false" customHeight="true" outlineLevel="0" collapsed="false">
      <c r="A15" s="16" t="s">
        <v>416</v>
      </c>
      <c r="D15" s="33" t="n">
        <f aca="false">SUM(D8:D13)</f>
        <v>30.6</v>
      </c>
      <c r="E15" s="31" t="n">
        <f aca="false">D15/Procesamiento!$B$5</f>
        <v>0.153</v>
      </c>
    </row>
    <row r="17" customFormat="false" ht="15" hidden="false" customHeight="true" outlineLevel="0" collapsed="false">
      <c r="A17" s="4" t="s">
        <v>417</v>
      </c>
    </row>
    <row r="18" customFormat="false" ht="15" hidden="false" customHeight="true" outlineLevel="0" collapsed="false">
      <c r="A18" s="11" t="s">
        <v>40</v>
      </c>
      <c r="B18" s="11" t="s">
        <v>41</v>
      </c>
      <c r="C18" s="11" t="s">
        <v>42</v>
      </c>
      <c r="D18" s="11" t="s">
        <v>43</v>
      </c>
    </row>
    <row r="19" customFormat="false" ht="34.5" hidden="false" customHeight="true" outlineLevel="0" collapsed="false">
      <c r="A19" s="12" t="s">
        <v>418</v>
      </c>
      <c r="B19" s="13" t="n">
        <v>500</v>
      </c>
      <c r="C19" s="12" t="s">
        <v>419</v>
      </c>
      <c r="D19" s="12" t="s">
        <v>420</v>
      </c>
    </row>
    <row r="20" customFormat="false" ht="15" hidden="false" customHeight="true" outlineLevel="0" collapsed="false">
      <c r="A20" s="12" t="s">
        <v>421</v>
      </c>
      <c r="B20" s="34" t="n">
        <f aca="false">Camara_Datos!$B$24*Camara_Datos!$B$7^2</f>
        <v>67108864</v>
      </c>
      <c r="C20" s="12" t="s">
        <v>422</v>
      </c>
      <c r="D20" s="12"/>
    </row>
    <row r="21" customFormat="false" ht="23.25" hidden="false" customHeight="true" outlineLevel="0" collapsed="false">
      <c r="A21" s="16" t="s">
        <v>423</v>
      </c>
      <c r="B21" s="21" t="n">
        <f aca="false">Procesamiento!$B$20*Procesamiento!$B$19/(Procesamiento!$B$5*1000000)</f>
        <v>167.77216</v>
      </c>
      <c r="C21" s="12" t="s">
        <v>54</v>
      </c>
      <c r="D21" s="12" t="s">
        <v>424</v>
      </c>
    </row>
    <row r="23" customFormat="false" ht="15" hidden="false" customHeight="true" outlineLevel="0" collapsed="false">
      <c r="A23" s="4" t="s">
        <v>425</v>
      </c>
    </row>
    <row r="24" customFormat="false" ht="15" hidden="false" customHeight="true" outlineLevel="0" collapsed="false">
      <c r="A24" s="11" t="s">
        <v>40</v>
      </c>
      <c r="B24" s="11" t="s">
        <v>41</v>
      </c>
      <c r="C24" s="11" t="s">
        <v>42</v>
      </c>
      <c r="D24" s="11" t="s">
        <v>43</v>
      </c>
    </row>
    <row r="25" customFormat="false" ht="23.25" hidden="false" customHeight="true" outlineLevel="0" collapsed="false">
      <c r="A25" s="12" t="s">
        <v>426</v>
      </c>
      <c r="B25" s="27" t="n">
        <f aca="false">Camara_Datos!$B$33</f>
        <v>12.582912</v>
      </c>
      <c r="C25" s="12" t="s">
        <v>157</v>
      </c>
      <c r="D25" s="12" t="s">
        <v>427</v>
      </c>
    </row>
    <row r="26" customFormat="false" ht="34.5" hidden="false" customHeight="true" outlineLevel="0" collapsed="false">
      <c r="A26" s="12" t="s">
        <v>428</v>
      </c>
      <c r="B26" s="14" t="n">
        <v>0.2</v>
      </c>
      <c r="C26" s="12" t="s">
        <v>157</v>
      </c>
      <c r="D26" s="12" t="s">
        <v>429</v>
      </c>
    </row>
    <row r="27" customFormat="false" ht="34.5" hidden="false" customHeight="true" outlineLevel="0" collapsed="false">
      <c r="A27" s="12" t="s">
        <v>430</v>
      </c>
      <c r="B27" s="14" t="n">
        <v>1</v>
      </c>
      <c r="C27" s="12" t="s">
        <v>157</v>
      </c>
      <c r="D27" s="12" t="s">
        <v>431</v>
      </c>
    </row>
    <row r="28" customFormat="false" ht="23.25" hidden="false" customHeight="true" outlineLevel="0" collapsed="false">
      <c r="A28" s="12" t="s">
        <v>432</v>
      </c>
      <c r="B28" s="35" t="n">
        <f aca="false">Camara_Datos!$B$67</f>
        <v>1.53145376</v>
      </c>
      <c r="C28" s="12" t="s">
        <v>212</v>
      </c>
      <c r="D28" s="12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"/>
    <col collapsed="false" customWidth="true" hidden="false" outlineLevel="0" max="5" min="3" style="1" width="13"/>
    <col collapsed="false" customWidth="true" hidden="false" outlineLevel="0" max="6" min="6" style="1" width="70"/>
  </cols>
  <sheetData>
    <row r="1" customFormat="false" ht="15.75" hidden="false" customHeight="true" outlineLevel="0" collapsed="false">
      <c r="A1" s="2" t="s">
        <v>434</v>
      </c>
    </row>
    <row r="2" customFormat="false" ht="15" hidden="false" customHeight="true" outlineLevel="0" collapsed="false">
      <c r="A2" s="3" t="s">
        <v>435</v>
      </c>
    </row>
    <row r="4" customFormat="false" ht="15" hidden="false" customHeight="true" outlineLevel="0" collapsed="false">
      <c r="A4" s="11" t="s">
        <v>436</v>
      </c>
      <c r="B4" s="11" t="s">
        <v>437</v>
      </c>
      <c r="C4" s="11"/>
      <c r="D4" s="11"/>
      <c r="E4" s="11"/>
      <c r="F4" s="11" t="s">
        <v>438</v>
      </c>
    </row>
    <row r="5" customFormat="false" ht="15" hidden="false" customHeight="true" outlineLevel="0" collapsed="false">
      <c r="A5" s="12" t="s">
        <v>439</v>
      </c>
      <c r="B5" s="23" t="n">
        <v>0.2</v>
      </c>
      <c r="F5" s="12" t="s">
        <v>440</v>
      </c>
    </row>
    <row r="6" customFormat="false" ht="15" hidden="false" customHeight="true" outlineLevel="0" collapsed="false">
      <c r="A6" s="12" t="s">
        <v>441</v>
      </c>
      <c r="B6" s="23" t="n">
        <v>0.2</v>
      </c>
      <c r="F6" s="12" t="s">
        <v>442</v>
      </c>
    </row>
    <row r="7" customFormat="false" ht="15" hidden="false" customHeight="true" outlineLevel="0" collapsed="false">
      <c r="A7" s="12" t="s">
        <v>443</v>
      </c>
      <c r="B7" s="23" t="n">
        <v>0.2</v>
      </c>
      <c r="F7" s="12" t="s">
        <v>444</v>
      </c>
    </row>
    <row r="8" customFormat="false" ht="15" hidden="false" customHeight="true" outlineLevel="0" collapsed="false">
      <c r="A8" s="12" t="s">
        <v>445</v>
      </c>
      <c r="B8" s="23" t="n">
        <v>0.15</v>
      </c>
      <c r="F8" s="12" t="s">
        <v>446</v>
      </c>
    </row>
    <row r="9" customFormat="false" ht="15" hidden="false" customHeight="true" outlineLevel="0" collapsed="false">
      <c r="A9" s="12" t="s">
        <v>447</v>
      </c>
      <c r="B9" s="23" t="n">
        <v>0.15</v>
      </c>
      <c r="F9" s="12" t="s">
        <v>448</v>
      </c>
    </row>
    <row r="10" customFormat="false" ht="15" hidden="false" customHeight="true" outlineLevel="0" collapsed="false">
      <c r="A10" s="12" t="s">
        <v>449</v>
      </c>
      <c r="B10" s="23" t="n">
        <v>0.1</v>
      </c>
      <c r="F10" s="12" t="s">
        <v>450</v>
      </c>
    </row>
    <row r="11" customFormat="false" ht="15" hidden="false" customHeight="true" outlineLevel="0" collapsed="false">
      <c r="A11" s="16" t="s">
        <v>451</v>
      </c>
      <c r="B11" s="29" t="n">
        <f aca="false">SUM(B5:B10)</f>
        <v>1</v>
      </c>
    </row>
    <row r="13" customFormat="false" ht="15" hidden="false" customHeight="true" outlineLevel="0" collapsed="false">
      <c r="A13" s="4" t="s">
        <v>452</v>
      </c>
    </row>
    <row r="14" customFormat="false" ht="34.5" hidden="false" customHeight="true" outlineLevel="0" collapsed="false">
      <c r="A14" s="11" t="s">
        <v>436</v>
      </c>
      <c r="B14" s="11" t="s">
        <v>437</v>
      </c>
      <c r="C14" s="11" t="s">
        <v>453</v>
      </c>
      <c r="D14" s="11" t="s">
        <v>454</v>
      </c>
      <c r="E14" s="11" t="s">
        <v>455</v>
      </c>
      <c r="F14" s="11" t="s">
        <v>456</v>
      </c>
    </row>
    <row r="15" customFormat="false" ht="15" hidden="false" customHeight="true" outlineLevel="0" collapsed="false">
      <c r="A15" s="12" t="s">
        <v>439</v>
      </c>
      <c r="B15" s="18" t="n">
        <f aca="false">B5</f>
        <v>0.2</v>
      </c>
      <c r="C15" s="13" t="n">
        <v>5</v>
      </c>
      <c r="D15" s="13" t="n">
        <v>4</v>
      </c>
      <c r="E15" s="13" t="n">
        <v>3</v>
      </c>
      <c r="F15" s="12" t="s">
        <v>457</v>
      </c>
    </row>
    <row r="16" customFormat="false" ht="15" hidden="false" customHeight="true" outlineLevel="0" collapsed="false">
      <c r="A16" s="12" t="s">
        <v>441</v>
      </c>
      <c r="B16" s="18" t="n">
        <f aca="false">B6</f>
        <v>0.2</v>
      </c>
      <c r="C16" s="13" t="n">
        <v>2</v>
      </c>
      <c r="D16" s="13" t="n">
        <v>4</v>
      </c>
      <c r="E16" s="13" t="n">
        <v>4</v>
      </c>
      <c r="F16" s="12" t="s">
        <v>458</v>
      </c>
    </row>
    <row r="17" customFormat="false" ht="15" hidden="false" customHeight="true" outlineLevel="0" collapsed="false">
      <c r="A17" s="12" t="s">
        <v>443</v>
      </c>
      <c r="B17" s="18" t="n">
        <f aca="false">B7</f>
        <v>0.2</v>
      </c>
      <c r="C17" s="13" t="n">
        <v>4</v>
      </c>
      <c r="D17" s="13" t="n">
        <v>4</v>
      </c>
      <c r="E17" s="13" t="n">
        <v>5</v>
      </c>
      <c r="F17" s="12" t="s">
        <v>459</v>
      </c>
    </row>
    <row r="18" customFormat="false" ht="15" hidden="false" customHeight="true" outlineLevel="0" collapsed="false">
      <c r="A18" s="12" t="s">
        <v>445</v>
      </c>
      <c r="B18" s="18" t="n">
        <f aca="false">B8</f>
        <v>0.15</v>
      </c>
      <c r="C18" s="13" t="n">
        <v>5</v>
      </c>
      <c r="D18" s="13" t="n">
        <v>4</v>
      </c>
      <c r="E18" s="13" t="n">
        <v>2</v>
      </c>
      <c r="F18" s="12" t="s">
        <v>460</v>
      </c>
    </row>
    <row r="19" customFormat="false" ht="15" hidden="false" customHeight="true" outlineLevel="0" collapsed="false">
      <c r="A19" s="12" t="s">
        <v>447</v>
      </c>
      <c r="B19" s="18" t="n">
        <f aca="false">B9</f>
        <v>0.15</v>
      </c>
      <c r="C19" s="13" t="n">
        <v>4</v>
      </c>
      <c r="D19" s="13" t="n">
        <v>3</v>
      </c>
      <c r="E19" s="13" t="n">
        <v>2</v>
      </c>
      <c r="F19" s="12" t="s">
        <v>461</v>
      </c>
    </row>
    <row r="20" customFormat="false" ht="15" hidden="false" customHeight="true" outlineLevel="0" collapsed="false">
      <c r="A20" s="12" t="s">
        <v>449</v>
      </c>
      <c r="B20" s="18" t="n">
        <f aca="false">B10</f>
        <v>0.1</v>
      </c>
      <c r="C20" s="13" t="n">
        <v>2</v>
      </c>
      <c r="D20" s="13" t="n">
        <v>4</v>
      </c>
      <c r="E20" s="13" t="n">
        <v>3</v>
      </c>
      <c r="F20" s="12" t="s">
        <v>462</v>
      </c>
    </row>
    <row r="21" customFormat="false" ht="15" hidden="false" customHeight="true" outlineLevel="0" collapsed="false">
      <c r="A21" s="16" t="s">
        <v>463</v>
      </c>
      <c r="B21" s="18" t="n">
        <f aca="false">SUM(B15:B20)</f>
        <v>1</v>
      </c>
      <c r="C21" s="25" t="n">
        <f aca="false">SUMPRODUCT($B$15:$B$20,C15:C20)</f>
        <v>3.75</v>
      </c>
      <c r="D21" s="25" t="n">
        <f aca="false">SUMPRODUCT($B$15:$B$20,D15:D20)</f>
        <v>3.85</v>
      </c>
      <c r="E21" s="25" t="n">
        <f aca="false">SUMPRODUCT($B$15:$B$20,E15:E20)</f>
        <v>3.3</v>
      </c>
    </row>
    <row r="22" customFormat="false" ht="34.5" hidden="false" customHeight="true" outlineLevel="0" collapsed="false">
      <c r="A22" s="16" t="s">
        <v>464</v>
      </c>
      <c r="C22" s="16" t="str">
        <f aca="false">INDEX(C14:E14,MATCH(MAX(C21,D21,E21),C21:E21,0))</f>
        <v>B: semidistribuido</v>
      </c>
    </row>
    <row r="24" customFormat="false" ht="15" hidden="false" customHeight="true" outlineLevel="0" collapsed="false">
      <c r="A24" s="4" t="s">
        <v>465</v>
      </c>
    </row>
    <row r="25" customFormat="false" ht="23.25" hidden="false" customHeight="true" outlineLevel="0" collapsed="false">
      <c r="A25" s="11" t="s">
        <v>436</v>
      </c>
      <c r="B25" s="11" t="s">
        <v>437</v>
      </c>
      <c r="C25" s="11" t="s">
        <v>466</v>
      </c>
      <c r="D25" s="11" t="s">
        <v>467</v>
      </c>
      <c r="E25" s="11" t="s">
        <v>468</v>
      </c>
      <c r="F25" s="11" t="s">
        <v>456</v>
      </c>
    </row>
    <row r="26" customFormat="false" ht="15" hidden="false" customHeight="true" outlineLevel="0" collapsed="false">
      <c r="A26" s="12" t="s">
        <v>439</v>
      </c>
      <c r="B26" s="18" t="n">
        <f aca="false">B5</f>
        <v>0.2</v>
      </c>
      <c r="C26" s="13" t="n">
        <v>5</v>
      </c>
      <c r="D26" s="13" t="n">
        <v>1</v>
      </c>
      <c r="E26" s="13" t="n">
        <v>3</v>
      </c>
      <c r="F26" s="12" t="s">
        <v>469</v>
      </c>
    </row>
    <row r="27" customFormat="false" ht="15" hidden="false" customHeight="true" outlineLevel="0" collapsed="false">
      <c r="A27" s="12" t="s">
        <v>441</v>
      </c>
      <c r="B27" s="18" t="n">
        <f aca="false">B6</f>
        <v>0.2</v>
      </c>
      <c r="C27" s="13" t="n">
        <v>4</v>
      </c>
      <c r="D27" s="13" t="n">
        <v>2</v>
      </c>
      <c r="E27" s="13" t="n">
        <v>3</v>
      </c>
      <c r="F27" s="12" t="s">
        <v>470</v>
      </c>
    </row>
    <row r="28" customFormat="false" ht="15" hidden="false" customHeight="true" outlineLevel="0" collapsed="false">
      <c r="A28" s="12" t="s">
        <v>443</v>
      </c>
      <c r="B28" s="18" t="n">
        <f aca="false">B7</f>
        <v>0.2</v>
      </c>
      <c r="C28" s="13" t="n">
        <v>4</v>
      </c>
      <c r="D28" s="13" t="n">
        <v>5</v>
      </c>
      <c r="E28" s="13" t="n">
        <v>5</v>
      </c>
      <c r="F28" s="12" t="s">
        <v>471</v>
      </c>
    </row>
    <row r="29" customFormat="false" ht="15" hidden="false" customHeight="true" outlineLevel="0" collapsed="false">
      <c r="A29" s="12" t="s">
        <v>445</v>
      </c>
      <c r="B29" s="18" t="n">
        <f aca="false">B8</f>
        <v>0.15</v>
      </c>
      <c r="C29" s="13" t="n">
        <v>5</v>
      </c>
      <c r="D29" s="13" t="n">
        <v>4</v>
      </c>
      <c r="E29" s="13" t="n">
        <v>3</v>
      </c>
      <c r="F29" s="12"/>
    </row>
    <row r="30" customFormat="false" ht="15" hidden="false" customHeight="true" outlineLevel="0" collapsed="false">
      <c r="A30" s="12" t="s">
        <v>447</v>
      </c>
      <c r="B30" s="18" t="n">
        <f aca="false">B9</f>
        <v>0.15</v>
      </c>
      <c r="C30" s="13" t="n">
        <v>4</v>
      </c>
      <c r="D30" s="13" t="n">
        <v>2</v>
      </c>
      <c r="E30" s="13" t="n">
        <v>2</v>
      </c>
      <c r="F30" s="12" t="s">
        <v>472</v>
      </c>
    </row>
    <row r="31" customFormat="false" ht="15" hidden="false" customHeight="true" outlineLevel="0" collapsed="false">
      <c r="A31" s="12" t="s">
        <v>449</v>
      </c>
      <c r="B31" s="18" t="n">
        <f aca="false">B10</f>
        <v>0.1</v>
      </c>
      <c r="C31" s="13" t="n">
        <v>4</v>
      </c>
      <c r="D31" s="13" t="n">
        <v>3</v>
      </c>
      <c r="E31" s="13" t="n">
        <v>3</v>
      </c>
      <c r="F31" s="12"/>
    </row>
    <row r="32" customFormat="false" ht="15" hidden="false" customHeight="true" outlineLevel="0" collapsed="false">
      <c r="A32" s="16" t="s">
        <v>463</v>
      </c>
      <c r="B32" s="18" t="n">
        <f aca="false">SUM(B26:B31)</f>
        <v>1</v>
      </c>
      <c r="C32" s="25" t="n">
        <f aca="false">SUMPRODUCT($B$26:$B$31,C26:C31)</f>
        <v>4.35</v>
      </c>
      <c r="D32" s="25" t="n">
        <f aca="false">SUMPRODUCT($B$26:$B$31,D26:D31)</f>
        <v>2.8</v>
      </c>
      <c r="E32" s="25" t="n">
        <f aca="false">SUMPRODUCT($B$26:$B$31,E26:E31)</f>
        <v>3.25</v>
      </c>
    </row>
    <row r="33" customFormat="false" ht="23.25" hidden="false" customHeight="true" outlineLevel="0" collapsed="false">
      <c r="A33" s="16" t="s">
        <v>464</v>
      </c>
      <c r="C33" s="16" t="str">
        <f aca="false">INDEX(C25:E25,MATCH(MAX(C32,D32,E32),C32:E32,0))</f>
        <v>A: MCU Cortex-M7</v>
      </c>
    </row>
    <row r="35" customFormat="false" ht="15" hidden="false" customHeight="true" outlineLevel="0" collapsed="false">
      <c r="A35" s="4" t="s">
        <v>473</v>
      </c>
    </row>
    <row r="36" customFormat="false" ht="15" hidden="false" customHeight="true" outlineLevel="0" collapsed="false">
      <c r="A36" s="11" t="s">
        <v>436</v>
      </c>
      <c r="B36" s="11" t="s">
        <v>437</v>
      </c>
      <c r="C36" s="11" t="s">
        <v>474</v>
      </c>
      <c r="D36" s="11" t="s">
        <v>475</v>
      </c>
      <c r="E36" s="11" t="s">
        <v>476</v>
      </c>
      <c r="F36" s="11" t="s">
        <v>456</v>
      </c>
    </row>
    <row r="37" customFormat="false" ht="15" hidden="false" customHeight="true" outlineLevel="0" collapsed="false">
      <c r="A37" s="12" t="s">
        <v>439</v>
      </c>
      <c r="B37" s="18" t="n">
        <f aca="false">B5</f>
        <v>0.2</v>
      </c>
      <c r="C37" s="13" t="n">
        <v>4</v>
      </c>
      <c r="D37" s="13" t="n">
        <v>4</v>
      </c>
      <c r="E37" s="13" t="n">
        <v>4</v>
      </c>
      <c r="F37" s="12" t="s">
        <v>477</v>
      </c>
    </row>
    <row r="38" customFormat="false" ht="15" hidden="false" customHeight="true" outlineLevel="0" collapsed="false">
      <c r="A38" s="12" t="s">
        <v>441</v>
      </c>
      <c r="B38" s="18" t="n">
        <f aca="false">B6</f>
        <v>0.2</v>
      </c>
      <c r="C38" s="13" t="n">
        <v>3</v>
      </c>
      <c r="D38" s="13" t="n">
        <v>4</v>
      </c>
      <c r="E38" s="13" t="n">
        <v>4</v>
      </c>
      <c r="F38" s="12" t="s">
        <v>478</v>
      </c>
    </row>
    <row r="39" customFormat="false" ht="15" hidden="false" customHeight="true" outlineLevel="0" collapsed="false">
      <c r="A39" s="12" t="s">
        <v>443</v>
      </c>
      <c r="B39" s="18" t="n">
        <f aca="false">B7</f>
        <v>0.2</v>
      </c>
      <c r="C39" s="13" t="n">
        <v>4</v>
      </c>
      <c r="D39" s="13" t="n">
        <v>4</v>
      </c>
      <c r="E39" s="13" t="n">
        <v>4</v>
      </c>
      <c r="F39" s="12" t="s">
        <v>479</v>
      </c>
    </row>
    <row r="40" customFormat="false" ht="15" hidden="false" customHeight="true" outlineLevel="0" collapsed="false">
      <c r="A40" s="12" t="s">
        <v>445</v>
      </c>
      <c r="B40" s="18" t="n">
        <f aca="false">B8</f>
        <v>0.15</v>
      </c>
      <c r="C40" s="13" t="n">
        <v>5</v>
      </c>
      <c r="D40" s="13" t="n">
        <v>4</v>
      </c>
      <c r="E40" s="13" t="n">
        <v>1</v>
      </c>
      <c r="F40" s="12" t="s">
        <v>480</v>
      </c>
    </row>
    <row r="41" customFormat="false" ht="15" hidden="false" customHeight="true" outlineLevel="0" collapsed="false">
      <c r="A41" s="12" t="s">
        <v>447</v>
      </c>
      <c r="B41" s="18" t="n">
        <f aca="false">B9</f>
        <v>0.15</v>
      </c>
      <c r="C41" s="13" t="n">
        <v>3</v>
      </c>
      <c r="D41" s="13" t="n">
        <v>4</v>
      </c>
      <c r="E41" s="13" t="n">
        <v>3</v>
      </c>
      <c r="F41" s="12" t="s">
        <v>481</v>
      </c>
    </row>
    <row r="42" customFormat="false" ht="15" hidden="false" customHeight="true" outlineLevel="0" collapsed="false">
      <c r="A42" s="12" t="s">
        <v>449</v>
      </c>
      <c r="B42" s="18" t="n">
        <f aca="false">B10</f>
        <v>0.1</v>
      </c>
      <c r="C42" s="13" t="n">
        <v>2</v>
      </c>
      <c r="D42" s="13" t="n">
        <v>4</v>
      </c>
      <c r="E42" s="13" t="n">
        <v>5</v>
      </c>
      <c r="F42" s="12" t="s">
        <v>482</v>
      </c>
    </row>
    <row r="43" customFormat="false" ht="15" hidden="false" customHeight="true" outlineLevel="0" collapsed="false">
      <c r="A43" s="16" t="s">
        <v>463</v>
      </c>
      <c r="B43" s="18" t="n">
        <f aca="false">SUM(B37:B42)</f>
        <v>1</v>
      </c>
      <c r="C43" s="25" t="n">
        <f aca="false">SUMPRODUCT($B$37:$B$42,C37:C42)</f>
        <v>3.6</v>
      </c>
      <c r="D43" s="25" t="n">
        <f aca="false">SUMPRODUCT($B$37:$B$42,D37:D42)</f>
        <v>4</v>
      </c>
      <c r="E43" s="25" t="n">
        <f aca="false">SUMPRODUCT($B$37:$B$42,E37:E42)</f>
        <v>3.5</v>
      </c>
    </row>
    <row r="44" customFormat="false" ht="15" hidden="false" customHeight="true" outlineLevel="0" collapsed="false">
      <c r="A44" s="16" t="s">
        <v>464</v>
      </c>
      <c r="C44" s="16" t="str">
        <f aca="false">INDEX(C36:E36,MATCH(MAX(C43,D43,E43),C43:E43,0))</f>
        <v>B: 4 PCBs</v>
      </c>
    </row>
    <row r="46" customFormat="false" ht="15" hidden="false" customHeight="true" outlineLevel="0" collapsed="false">
      <c r="A46" s="4" t="s">
        <v>483</v>
      </c>
    </row>
    <row r="47" customFormat="false" ht="23.25" hidden="false" customHeight="true" outlineLevel="0" collapsed="false">
      <c r="A47" s="11" t="s">
        <v>436</v>
      </c>
      <c r="B47" s="11" t="s">
        <v>437</v>
      </c>
      <c r="C47" s="11" t="s">
        <v>484</v>
      </c>
      <c r="D47" s="11" t="s">
        <v>485</v>
      </c>
      <c r="E47" s="11"/>
      <c r="F47" s="11" t="s">
        <v>456</v>
      </c>
    </row>
    <row r="48" customFormat="false" ht="15" hidden="false" customHeight="true" outlineLevel="0" collapsed="false">
      <c r="A48" s="12" t="s">
        <v>439</v>
      </c>
      <c r="B48" s="18" t="n">
        <f aca="false">B5</f>
        <v>0.2</v>
      </c>
      <c r="C48" s="13" t="n">
        <v>3</v>
      </c>
      <c r="D48" s="13" t="n">
        <v>4</v>
      </c>
      <c r="E48" s="12"/>
      <c r="F48" s="12" t="s">
        <v>486</v>
      </c>
    </row>
    <row r="49" customFormat="false" ht="15" hidden="false" customHeight="true" outlineLevel="0" collapsed="false">
      <c r="A49" s="12" t="s">
        <v>441</v>
      </c>
      <c r="B49" s="18" t="n">
        <f aca="false">B6</f>
        <v>0.2</v>
      </c>
      <c r="C49" s="13" t="n">
        <v>2</v>
      </c>
      <c r="D49" s="13" t="n">
        <v>5</v>
      </c>
      <c r="E49" s="12"/>
      <c r="F49" s="12" t="s">
        <v>487</v>
      </c>
    </row>
    <row r="50" customFormat="false" ht="15" hidden="false" customHeight="true" outlineLevel="0" collapsed="false">
      <c r="A50" s="12" t="s">
        <v>443</v>
      </c>
      <c r="B50" s="18" t="n">
        <f aca="false">B7</f>
        <v>0.2</v>
      </c>
      <c r="C50" s="13" t="n">
        <v>5</v>
      </c>
      <c r="D50" s="13" t="n">
        <v>5</v>
      </c>
      <c r="E50" s="12"/>
      <c r="F50" s="12" t="s">
        <v>488</v>
      </c>
    </row>
    <row r="51" customFormat="false" ht="15" hidden="false" customHeight="true" outlineLevel="0" collapsed="false">
      <c r="A51" s="12" t="s">
        <v>445</v>
      </c>
      <c r="B51" s="18" t="n">
        <f aca="false">B8</f>
        <v>0.15</v>
      </c>
      <c r="C51" s="13" t="n">
        <v>4</v>
      </c>
      <c r="D51" s="13" t="n">
        <v>3</v>
      </c>
      <c r="E51" s="12"/>
      <c r="F51" s="12" t="s">
        <v>489</v>
      </c>
    </row>
    <row r="52" customFormat="false" ht="15" hidden="false" customHeight="true" outlineLevel="0" collapsed="false">
      <c r="A52" s="12" t="s">
        <v>447</v>
      </c>
      <c r="B52" s="18" t="n">
        <f aca="false">B9</f>
        <v>0.15</v>
      </c>
      <c r="C52" s="13" t="n">
        <v>3</v>
      </c>
      <c r="D52" s="13" t="n">
        <v>3</v>
      </c>
      <c r="E52" s="12"/>
      <c r="F52" s="12" t="s">
        <v>490</v>
      </c>
    </row>
    <row r="53" customFormat="false" ht="15" hidden="false" customHeight="true" outlineLevel="0" collapsed="false">
      <c r="A53" s="12" t="s">
        <v>449</v>
      </c>
      <c r="B53" s="18" t="n">
        <f aca="false">B10</f>
        <v>0.1</v>
      </c>
      <c r="C53" s="13" t="n">
        <v>4</v>
      </c>
      <c r="D53" s="13" t="n">
        <v>3</v>
      </c>
      <c r="E53" s="12"/>
      <c r="F53" s="12"/>
    </row>
    <row r="54" customFormat="false" ht="15" hidden="false" customHeight="true" outlineLevel="0" collapsed="false">
      <c r="A54" s="16" t="s">
        <v>463</v>
      </c>
      <c r="B54" s="18" t="n">
        <f aca="false">SUM(B48:B53)</f>
        <v>1</v>
      </c>
      <c r="C54" s="25" t="n">
        <f aca="false">SUMPRODUCT($B$48:$B$53,C48:C53)</f>
        <v>3.45</v>
      </c>
      <c r="D54" s="25" t="n">
        <f aca="false">SUMPRODUCT($B$48:$B$53,D48:D53)</f>
        <v>4</v>
      </c>
      <c r="E54" s="12"/>
    </row>
    <row r="55" customFormat="false" ht="23.25" hidden="false" customHeight="true" outlineLevel="0" collapsed="false">
      <c r="A55" s="16" t="s">
        <v>464</v>
      </c>
      <c r="C55" s="16" t="str">
        <f aca="false">INDEX(C47:E47,MATCH(MAX(C54,D54),C54:D54,0))</f>
        <v>B: UHF + banda S</v>
      </c>
    </row>
    <row r="57" customFormat="false" ht="15" hidden="false" customHeight="true" outlineLevel="0" collapsed="false">
      <c r="A57" s="4" t="s">
        <v>491</v>
      </c>
    </row>
    <row r="58" customFormat="false" ht="34.5" hidden="false" customHeight="true" outlineLevel="0" collapsed="false">
      <c r="A58" s="11" t="s">
        <v>436</v>
      </c>
      <c r="B58" s="11" t="s">
        <v>437</v>
      </c>
      <c r="C58" s="11" t="s">
        <v>492</v>
      </c>
      <c r="D58" s="11" t="s">
        <v>493</v>
      </c>
      <c r="E58" s="11"/>
      <c r="F58" s="11" t="s">
        <v>456</v>
      </c>
    </row>
    <row r="59" customFormat="false" ht="15" hidden="false" customHeight="true" outlineLevel="0" collapsed="false">
      <c r="A59" s="12" t="s">
        <v>439</v>
      </c>
      <c r="B59" s="18" t="n">
        <f aca="false">B5</f>
        <v>0.2</v>
      </c>
      <c r="C59" s="13" t="n">
        <v>4</v>
      </c>
      <c r="D59" s="13" t="n">
        <v>3</v>
      </c>
      <c r="E59" s="12"/>
      <c r="F59" s="12"/>
    </row>
    <row r="60" customFormat="false" ht="15" hidden="false" customHeight="true" outlineLevel="0" collapsed="false">
      <c r="A60" s="12" t="s">
        <v>441</v>
      </c>
      <c r="B60" s="18" t="n">
        <f aca="false">B6</f>
        <v>0.2</v>
      </c>
      <c r="C60" s="13" t="n">
        <v>3</v>
      </c>
      <c r="D60" s="13" t="n">
        <v>4</v>
      </c>
      <c r="E60" s="12"/>
      <c r="F60" s="12" t="s">
        <v>494</v>
      </c>
    </row>
    <row r="61" customFormat="false" ht="15" hidden="false" customHeight="true" outlineLevel="0" collapsed="false">
      <c r="A61" s="12" t="s">
        <v>443</v>
      </c>
      <c r="B61" s="18" t="n">
        <f aca="false">B7</f>
        <v>0.2</v>
      </c>
      <c r="C61" s="13" t="n">
        <v>4</v>
      </c>
      <c r="D61" s="13" t="n">
        <v>5</v>
      </c>
      <c r="E61" s="12"/>
      <c r="F61" s="12" t="s">
        <v>495</v>
      </c>
    </row>
    <row r="62" customFormat="false" ht="15" hidden="false" customHeight="true" outlineLevel="0" collapsed="false">
      <c r="A62" s="12" t="s">
        <v>445</v>
      </c>
      <c r="B62" s="18" t="n">
        <f aca="false">B8</f>
        <v>0.15</v>
      </c>
      <c r="C62" s="13" t="n">
        <v>5</v>
      </c>
      <c r="D62" s="13" t="n">
        <v>1</v>
      </c>
      <c r="E62" s="12"/>
      <c r="F62" s="12" t="s">
        <v>496</v>
      </c>
    </row>
    <row r="63" customFormat="false" ht="15" hidden="false" customHeight="true" outlineLevel="0" collapsed="false">
      <c r="A63" s="12" t="s">
        <v>447</v>
      </c>
      <c r="B63" s="18" t="n">
        <f aca="false">B9</f>
        <v>0.15</v>
      </c>
      <c r="C63" s="13" t="n">
        <v>3</v>
      </c>
      <c r="D63" s="13" t="n">
        <v>4</v>
      </c>
      <c r="E63" s="12"/>
      <c r="F63" s="12" t="s">
        <v>497</v>
      </c>
    </row>
    <row r="64" customFormat="false" ht="15" hidden="false" customHeight="true" outlineLevel="0" collapsed="false">
      <c r="A64" s="12" t="s">
        <v>449</v>
      </c>
      <c r="B64" s="18" t="n">
        <f aca="false">B10</f>
        <v>0.1</v>
      </c>
      <c r="C64" s="13" t="n">
        <v>3</v>
      </c>
      <c r="D64" s="13" t="n">
        <v>4</v>
      </c>
      <c r="E64" s="12"/>
      <c r="F64" s="12"/>
    </row>
    <row r="65" customFormat="false" ht="15" hidden="false" customHeight="true" outlineLevel="0" collapsed="false">
      <c r="A65" s="16" t="s">
        <v>463</v>
      </c>
      <c r="B65" s="18" t="n">
        <f aca="false">SUM(B59:B64)</f>
        <v>1</v>
      </c>
      <c r="C65" s="25" t="n">
        <f aca="false">SUMPRODUCT($B$59:$B$64,C59:C64)</f>
        <v>3.7</v>
      </c>
      <c r="D65" s="25" t="n">
        <f aca="false">SUMPRODUCT($B$59:$B$64,D59:D64)</f>
        <v>3.55</v>
      </c>
      <c r="E65" s="12"/>
    </row>
    <row r="66" customFormat="false" ht="34.5" hidden="false" customHeight="true" outlineLevel="0" collapsed="false">
      <c r="A66" s="16" t="s">
        <v>464</v>
      </c>
      <c r="C66" s="16" t="str">
        <f aca="false">INDEX(C58:E58,MATCH(MAX(C65,D65),C65:D65,0))</f>
        <v>A: componentes discretos</v>
      </c>
    </row>
    <row r="68" customFormat="false" ht="15" hidden="false" customHeight="true" outlineLevel="0" collapsed="false">
      <c r="A68" s="4" t="s">
        <v>498</v>
      </c>
    </row>
    <row r="69" customFormat="false" ht="23.25" hidden="false" customHeight="true" outlineLevel="0" collapsed="false">
      <c r="A69" s="11" t="s">
        <v>436</v>
      </c>
      <c r="B69" s="11" t="s">
        <v>437</v>
      </c>
      <c r="C69" s="11" t="s">
        <v>499</v>
      </c>
      <c r="D69" s="11" t="s">
        <v>500</v>
      </c>
      <c r="E69" s="11"/>
      <c r="F69" s="11" t="s">
        <v>456</v>
      </c>
    </row>
    <row r="70" customFormat="false" ht="15" hidden="false" customHeight="true" outlineLevel="0" collapsed="false">
      <c r="A70" s="12" t="s">
        <v>439</v>
      </c>
      <c r="B70" s="18" t="n">
        <f aca="false">B5</f>
        <v>0.2</v>
      </c>
      <c r="C70" s="13" t="n">
        <v>3</v>
      </c>
      <c r="D70" s="13" t="n">
        <v>5</v>
      </c>
      <c r="E70" s="12"/>
      <c r="F70" s="12" t="s">
        <v>501</v>
      </c>
    </row>
    <row r="71" customFormat="false" ht="15" hidden="false" customHeight="true" outlineLevel="0" collapsed="false">
      <c r="A71" s="12" t="s">
        <v>441</v>
      </c>
      <c r="B71" s="18" t="n">
        <f aca="false">B6</f>
        <v>0.2</v>
      </c>
      <c r="C71" s="13" t="n">
        <v>5</v>
      </c>
      <c r="D71" s="13" t="n">
        <v>3</v>
      </c>
      <c r="E71" s="12"/>
      <c r="F71" s="12" t="s">
        <v>502</v>
      </c>
    </row>
    <row r="72" customFormat="false" ht="15" hidden="false" customHeight="true" outlineLevel="0" collapsed="false">
      <c r="A72" s="12" t="s">
        <v>443</v>
      </c>
      <c r="B72" s="18" t="n">
        <f aca="false">B7</f>
        <v>0.2</v>
      </c>
      <c r="C72" s="13" t="n">
        <v>4</v>
      </c>
      <c r="D72" s="13" t="n">
        <v>5</v>
      </c>
      <c r="E72" s="12"/>
      <c r="F72" s="12" t="s">
        <v>503</v>
      </c>
    </row>
    <row r="73" customFormat="false" ht="15" hidden="false" customHeight="true" outlineLevel="0" collapsed="false">
      <c r="A73" s="12" t="s">
        <v>445</v>
      </c>
      <c r="B73" s="18" t="n">
        <f aca="false">B8</f>
        <v>0.15</v>
      </c>
      <c r="C73" s="13" t="n">
        <v>5</v>
      </c>
      <c r="D73" s="13" t="n">
        <v>3</v>
      </c>
      <c r="E73" s="12"/>
      <c r="F73" s="12" t="s">
        <v>504</v>
      </c>
    </row>
    <row r="74" customFormat="false" ht="15" hidden="false" customHeight="true" outlineLevel="0" collapsed="false">
      <c r="A74" s="12" t="s">
        <v>447</v>
      </c>
      <c r="B74" s="18" t="n">
        <f aca="false">B9</f>
        <v>0.15</v>
      </c>
      <c r="C74" s="13" t="n">
        <v>4</v>
      </c>
      <c r="D74" s="13" t="n">
        <v>2</v>
      </c>
      <c r="E74" s="12"/>
      <c r="F74" s="12"/>
    </row>
    <row r="75" customFormat="false" ht="15" hidden="false" customHeight="true" outlineLevel="0" collapsed="false">
      <c r="A75" s="12" t="s">
        <v>449</v>
      </c>
      <c r="B75" s="18" t="n">
        <f aca="false">B10</f>
        <v>0.1</v>
      </c>
      <c r="C75" s="13" t="n">
        <v>4</v>
      </c>
      <c r="D75" s="13" t="n">
        <v>3</v>
      </c>
      <c r="E75" s="12"/>
      <c r="F75" s="12"/>
    </row>
    <row r="76" customFormat="false" ht="15" hidden="false" customHeight="true" outlineLevel="0" collapsed="false">
      <c r="A76" s="16" t="s">
        <v>463</v>
      </c>
      <c r="B76" s="18" t="n">
        <f aca="false">SUM(B70:B75)</f>
        <v>1</v>
      </c>
      <c r="C76" s="25" t="n">
        <f aca="false">SUMPRODUCT($B$70:$B$75,C70:C75)</f>
        <v>4.15</v>
      </c>
      <c r="D76" s="25" t="n">
        <f aca="false">SUMPRODUCT($B$70:$B$75,D70:D75)</f>
        <v>3.65</v>
      </c>
      <c r="E76" s="12"/>
    </row>
    <row r="77" customFormat="false" ht="23.25" hidden="false" customHeight="true" outlineLevel="0" collapsed="false">
      <c r="A77" s="16" t="s">
        <v>464</v>
      </c>
      <c r="C77" s="16" t="str">
        <f aca="false">INDEX(C69:E69,MATCH(MAX(C76,D76),C76:D76,0))</f>
        <v>A: paneles fijos</v>
      </c>
    </row>
    <row r="79" customFormat="false" ht="15" hidden="false" customHeight="true" outlineLevel="0" collapsed="false">
      <c r="A79" s="4" t="s">
        <v>505</v>
      </c>
    </row>
    <row r="80" customFormat="false" ht="34.5" hidden="false" customHeight="true" outlineLevel="0" collapsed="false">
      <c r="A80" s="11" t="s">
        <v>436</v>
      </c>
      <c r="B80" s="11" t="s">
        <v>437</v>
      </c>
      <c r="C80" s="11" t="s">
        <v>506</v>
      </c>
      <c r="D80" s="11" t="s">
        <v>507</v>
      </c>
      <c r="E80" s="11"/>
      <c r="F80" s="11" t="s">
        <v>456</v>
      </c>
    </row>
    <row r="81" customFormat="false" ht="15" hidden="false" customHeight="true" outlineLevel="0" collapsed="false">
      <c r="A81" s="12" t="s">
        <v>439</v>
      </c>
      <c r="B81" s="18" t="n">
        <f aca="false">B5</f>
        <v>0.2</v>
      </c>
      <c r="C81" s="13" t="n">
        <v>5</v>
      </c>
      <c r="D81" s="13" t="n">
        <v>4</v>
      </c>
      <c r="E81" s="12"/>
      <c r="F81" s="12"/>
    </row>
    <row r="82" customFormat="false" ht="15" hidden="false" customHeight="true" outlineLevel="0" collapsed="false">
      <c r="A82" s="12" t="s">
        <v>441</v>
      </c>
      <c r="B82" s="18" t="n">
        <f aca="false">B6</f>
        <v>0.2</v>
      </c>
      <c r="C82" s="13" t="n">
        <v>2</v>
      </c>
      <c r="D82" s="13" t="n">
        <v>5</v>
      </c>
      <c r="E82" s="12"/>
      <c r="F82" s="12" t="s">
        <v>508</v>
      </c>
    </row>
    <row r="83" customFormat="false" ht="15" hidden="false" customHeight="true" outlineLevel="0" collapsed="false">
      <c r="A83" s="12" t="s">
        <v>443</v>
      </c>
      <c r="B83" s="18" t="n">
        <f aca="false">B7</f>
        <v>0.2</v>
      </c>
      <c r="C83" s="13" t="n">
        <v>3</v>
      </c>
      <c r="D83" s="13" t="n">
        <v>5</v>
      </c>
      <c r="E83" s="12"/>
      <c r="F83" s="12"/>
    </row>
    <row r="84" customFormat="false" ht="15" hidden="false" customHeight="true" outlineLevel="0" collapsed="false">
      <c r="A84" s="12" t="s">
        <v>445</v>
      </c>
      <c r="B84" s="18" t="n">
        <f aca="false">B8</f>
        <v>0.15</v>
      </c>
      <c r="C84" s="13" t="n">
        <v>5</v>
      </c>
      <c r="D84" s="13" t="n">
        <v>4</v>
      </c>
      <c r="E84" s="12"/>
      <c r="F84" s="12"/>
    </row>
    <row r="85" customFormat="false" ht="15" hidden="false" customHeight="true" outlineLevel="0" collapsed="false">
      <c r="A85" s="12" t="s">
        <v>447</v>
      </c>
      <c r="B85" s="18" t="n">
        <f aca="false">B9</f>
        <v>0.15</v>
      </c>
      <c r="C85" s="13" t="n">
        <v>5</v>
      </c>
      <c r="D85" s="13" t="n">
        <v>3</v>
      </c>
      <c r="E85" s="12"/>
      <c r="F85" s="12"/>
    </row>
    <row r="86" customFormat="false" ht="15" hidden="false" customHeight="true" outlineLevel="0" collapsed="false">
      <c r="A86" s="12" t="s">
        <v>449</v>
      </c>
      <c r="B86" s="18" t="n">
        <f aca="false">B10</f>
        <v>0.1</v>
      </c>
      <c r="C86" s="13" t="n">
        <v>4</v>
      </c>
      <c r="D86" s="13" t="n">
        <v>4</v>
      </c>
      <c r="E86" s="12"/>
      <c r="F86" s="12"/>
    </row>
    <row r="87" customFormat="false" ht="15" hidden="false" customHeight="true" outlineLevel="0" collapsed="false">
      <c r="A87" s="16" t="s">
        <v>463</v>
      </c>
      <c r="B87" s="18" t="n">
        <f aca="false">SUM(B81:B86)</f>
        <v>1</v>
      </c>
      <c r="C87" s="25" t="n">
        <f aca="false">SUMPRODUCT($B$81:$B$86,C81:C86)</f>
        <v>3.9</v>
      </c>
      <c r="D87" s="25" t="n">
        <f aca="false">SUMPRODUCT($B$81:$B$86,D81:D86)</f>
        <v>4.25</v>
      </c>
      <c r="E87" s="12"/>
    </row>
    <row r="88" customFormat="false" ht="34.5" hidden="false" customHeight="true" outlineLevel="0" collapsed="false">
      <c r="A88" s="16" t="s">
        <v>464</v>
      </c>
      <c r="C88" s="16" t="str">
        <f aca="false">INDEX(C80:E80,MATCH(MAX(C87,D87),C87:D87,0))</f>
        <v>B: CAN + enlaces dedicados</v>
      </c>
    </row>
    <row r="90" customFormat="false" ht="15" hidden="false" customHeight="true" outlineLevel="0" collapsed="false">
      <c r="A90" s="4" t="s">
        <v>509</v>
      </c>
    </row>
    <row r="91" customFormat="false" ht="23.25" hidden="false" customHeight="true" outlineLevel="0" collapsed="false">
      <c r="A91" s="11" t="s">
        <v>436</v>
      </c>
      <c r="B91" s="11" t="s">
        <v>437</v>
      </c>
      <c r="C91" s="11" t="s">
        <v>510</v>
      </c>
      <c r="D91" s="11" t="s">
        <v>511</v>
      </c>
      <c r="E91" s="11"/>
      <c r="F91" s="11" t="s">
        <v>456</v>
      </c>
    </row>
    <row r="92" customFormat="false" ht="15" hidden="false" customHeight="true" outlineLevel="0" collapsed="false">
      <c r="A92" s="12" t="s">
        <v>439</v>
      </c>
      <c r="B92" s="18" t="n">
        <f aca="false">B5</f>
        <v>0.2</v>
      </c>
      <c r="C92" s="13" t="n">
        <v>4</v>
      </c>
      <c r="D92" s="13" t="n">
        <v>2</v>
      </c>
      <c r="E92" s="12"/>
      <c r="F92" s="12" t="s">
        <v>512</v>
      </c>
    </row>
    <row r="93" customFormat="false" ht="15" hidden="false" customHeight="true" outlineLevel="0" collapsed="false">
      <c r="A93" s="12" t="s">
        <v>441</v>
      </c>
      <c r="B93" s="18" t="n">
        <f aca="false">B6</f>
        <v>0.2</v>
      </c>
      <c r="C93" s="13" t="n">
        <v>4</v>
      </c>
      <c r="D93" s="13" t="n">
        <v>3</v>
      </c>
      <c r="E93" s="12"/>
      <c r="F93" s="12"/>
    </row>
    <row r="94" customFormat="false" ht="15" hidden="false" customHeight="true" outlineLevel="0" collapsed="false">
      <c r="A94" s="12" t="s">
        <v>443</v>
      </c>
      <c r="B94" s="18" t="n">
        <f aca="false">B7</f>
        <v>0.2</v>
      </c>
      <c r="C94" s="13" t="n">
        <v>4</v>
      </c>
      <c r="D94" s="13" t="n">
        <v>4</v>
      </c>
      <c r="E94" s="12"/>
      <c r="F94" s="12" t="s">
        <v>513</v>
      </c>
    </row>
    <row r="95" customFormat="false" ht="15" hidden="false" customHeight="true" outlineLevel="0" collapsed="false">
      <c r="A95" s="12" t="s">
        <v>445</v>
      </c>
      <c r="B95" s="18" t="n">
        <f aca="false">B8</f>
        <v>0.15</v>
      </c>
      <c r="C95" s="13" t="n">
        <v>4</v>
      </c>
      <c r="D95" s="13" t="n">
        <v>2</v>
      </c>
      <c r="E95" s="12"/>
      <c r="F95" s="12" t="s">
        <v>514</v>
      </c>
    </row>
    <row r="96" customFormat="false" ht="15" hidden="false" customHeight="true" outlineLevel="0" collapsed="false">
      <c r="A96" s="12" t="s">
        <v>447</v>
      </c>
      <c r="B96" s="18" t="n">
        <f aca="false">B9</f>
        <v>0.15</v>
      </c>
      <c r="C96" s="13" t="n">
        <v>3</v>
      </c>
      <c r="D96" s="13" t="n">
        <v>3</v>
      </c>
      <c r="E96" s="12"/>
      <c r="F96" s="12" t="s">
        <v>515</v>
      </c>
    </row>
    <row r="97" customFormat="false" ht="15" hidden="false" customHeight="true" outlineLevel="0" collapsed="false">
      <c r="A97" s="12" t="s">
        <v>449</v>
      </c>
      <c r="B97" s="18" t="n">
        <f aca="false">B10</f>
        <v>0.1</v>
      </c>
      <c r="C97" s="13" t="n">
        <v>4</v>
      </c>
      <c r="D97" s="13" t="n">
        <v>3</v>
      </c>
      <c r="E97" s="12"/>
      <c r="F97" s="12" t="s">
        <v>516</v>
      </c>
    </row>
    <row r="98" customFormat="false" ht="15" hidden="false" customHeight="true" outlineLevel="0" collapsed="false">
      <c r="A98" s="16" t="s">
        <v>463</v>
      </c>
      <c r="B98" s="18" t="n">
        <f aca="false">SUM(B92:B97)</f>
        <v>1</v>
      </c>
      <c r="C98" s="25" t="n">
        <f aca="false">SUMPRODUCT($B$92:$B$97,C92:C97)</f>
        <v>3.85</v>
      </c>
      <c r="D98" s="25" t="n">
        <f aca="false">SUMPRODUCT($B$92:$B$97,D92:D97)</f>
        <v>2.85</v>
      </c>
      <c r="E98" s="12"/>
    </row>
    <row r="99" customFormat="false" ht="23.25" hidden="false" customHeight="true" outlineLevel="0" collapsed="false">
      <c r="A99" s="16" t="s">
        <v>464</v>
      </c>
      <c r="C99" s="16" t="str">
        <f aca="false">INDEX(C91:E91,MATCH(MAX(C98,D98),C98:D98,0))</f>
        <v>A: filtro de franjas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60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50"/>
  </cols>
  <sheetData>
    <row r="1" customFormat="false" ht="15.75" hidden="false" customHeight="true" outlineLevel="0" collapsed="false">
      <c r="A1" s="2" t="s">
        <v>517</v>
      </c>
    </row>
    <row r="2" customFormat="false" ht="15" hidden="false" customHeight="true" outlineLevel="0" collapsed="false">
      <c r="A2" s="3" t="s">
        <v>518</v>
      </c>
    </row>
    <row r="4" customFormat="false" ht="15" hidden="false" customHeight="true" outlineLevel="0" collapsed="false">
      <c r="A4" s="11" t="s">
        <v>519</v>
      </c>
      <c r="B4" s="11" t="s">
        <v>520</v>
      </c>
      <c r="C4" s="11" t="s">
        <v>521</v>
      </c>
      <c r="D4" s="11" t="s">
        <v>522</v>
      </c>
      <c r="E4" s="11" t="s">
        <v>523</v>
      </c>
      <c r="F4" s="11" t="s">
        <v>524</v>
      </c>
    </row>
    <row r="5" customFormat="false" ht="15" hidden="false" customHeight="true" outlineLevel="0" collapsed="false">
      <c r="A5" s="36" t="s">
        <v>525</v>
      </c>
      <c r="B5" s="37"/>
      <c r="C5" s="37"/>
      <c r="D5" s="37"/>
      <c r="E5" s="37"/>
      <c r="F5" s="37"/>
    </row>
    <row r="6" customFormat="false" ht="34.5" hidden="false" customHeight="true" outlineLevel="0" collapsed="false">
      <c r="A6" s="12" t="s">
        <v>526</v>
      </c>
      <c r="B6" s="12" t="s">
        <v>527</v>
      </c>
      <c r="C6" s="12" t="s">
        <v>528</v>
      </c>
      <c r="D6" s="12" t="s">
        <v>529</v>
      </c>
      <c r="E6" s="12" t="s">
        <v>530</v>
      </c>
      <c r="F6" s="12" t="s">
        <v>531</v>
      </c>
    </row>
    <row r="7" customFormat="false" ht="23.25" hidden="false" customHeight="true" outlineLevel="0" collapsed="false">
      <c r="A7" s="12" t="s">
        <v>532</v>
      </c>
      <c r="B7" s="12" t="s">
        <v>527</v>
      </c>
      <c r="C7" s="12" t="s">
        <v>533</v>
      </c>
      <c r="D7" s="12" t="s">
        <v>534</v>
      </c>
      <c r="E7" s="12" t="s">
        <v>530</v>
      </c>
      <c r="F7" s="12" t="s">
        <v>535</v>
      </c>
    </row>
    <row r="8" customFormat="false" ht="23.25" hidden="false" customHeight="true" outlineLevel="0" collapsed="false">
      <c r="A8" s="12" t="s">
        <v>536</v>
      </c>
      <c r="B8" s="12" t="s">
        <v>527</v>
      </c>
      <c r="C8" s="12" t="s">
        <v>537</v>
      </c>
      <c r="D8" s="12" t="s">
        <v>538</v>
      </c>
      <c r="E8" s="12" t="s">
        <v>530</v>
      </c>
      <c r="F8" s="12" t="s">
        <v>539</v>
      </c>
    </row>
    <row r="9" customFormat="false" ht="23.25" hidden="false" customHeight="true" outlineLevel="0" collapsed="false">
      <c r="A9" s="12" t="s">
        <v>540</v>
      </c>
      <c r="B9" s="12" t="s">
        <v>527</v>
      </c>
      <c r="C9" s="12" t="s">
        <v>541</v>
      </c>
      <c r="D9" s="12" t="s">
        <v>542</v>
      </c>
      <c r="E9" s="12" t="s">
        <v>530</v>
      </c>
      <c r="F9" s="12" t="s">
        <v>543</v>
      </c>
    </row>
    <row r="10" customFormat="false" ht="23.25" hidden="false" customHeight="true" outlineLevel="0" collapsed="false">
      <c r="A10" s="12" t="s">
        <v>544</v>
      </c>
      <c r="B10" s="12" t="s">
        <v>527</v>
      </c>
      <c r="C10" s="12" t="s">
        <v>545</v>
      </c>
      <c r="D10" s="12" t="s">
        <v>48</v>
      </c>
      <c r="E10" s="12" t="s">
        <v>530</v>
      </c>
      <c r="F10" s="12" t="s">
        <v>546</v>
      </c>
    </row>
    <row r="11" customFormat="false" ht="23.25" hidden="false" customHeight="true" outlineLevel="0" collapsed="false">
      <c r="A11" s="12" t="s">
        <v>547</v>
      </c>
      <c r="B11" s="12" t="s">
        <v>527</v>
      </c>
      <c r="C11" s="12" t="s">
        <v>548</v>
      </c>
      <c r="D11" s="12" t="s">
        <v>549</v>
      </c>
      <c r="E11" s="12" t="s">
        <v>550</v>
      </c>
      <c r="F11" s="12" t="s">
        <v>551</v>
      </c>
    </row>
    <row r="12" customFormat="false" ht="15" hidden="false" customHeight="true" outlineLevel="0" collapsed="false">
      <c r="A12" s="36" t="s">
        <v>552</v>
      </c>
      <c r="B12" s="37"/>
      <c r="C12" s="37"/>
      <c r="D12" s="37"/>
      <c r="E12" s="37"/>
      <c r="F12" s="37"/>
    </row>
    <row r="13" customFormat="false" ht="23.25" hidden="false" customHeight="true" outlineLevel="0" collapsed="false">
      <c r="A13" s="12" t="s">
        <v>553</v>
      </c>
      <c r="B13" s="12" t="s">
        <v>527</v>
      </c>
      <c r="C13" s="12" t="s">
        <v>554</v>
      </c>
      <c r="D13" s="12" t="s">
        <v>48</v>
      </c>
      <c r="E13" s="12" t="s">
        <v>530</v>
      </c>
      <c r="F13" s="12" t="s">
        <v>555</v>
      </c>
    </row>
    <row r="14" customFormat="false" ht="23.25" hidden="false" customHeight="true" outlineLevel="0" collapsed="false">
      <c r="A14" s="12" t="s">
        <v>556</v>
      </c>
      <c r="B14" s="12" t="s">
        <v>527</v>
      </c>
      <c r="C14" s="12" t="s">
        <v>557</v>
      </c>
      <c r="D14" s="12" t="s">
        <v>48</v>
      </c>
      <c r="E14" s="12" t="s">
        <v>530</v>
      </c>
      <c r="F14" s="12" t="s">
        <v>558</v>
      </c>
    </row>
    <row r="15" customFormat="false" ht="23.25" hidden="false" customHeight="true" outlineLevel="0" collapsed="false">
      <c r="A15" s="12" t="s">
        <v>559</v>
      </c>
      <c r="B15" s="12" t="s">
        <v>527</v>
      </c>
      <c r="C15" s="12" t="s">
        <v>560</v>
      </c>
      <c r="D15" s="12" t="s">
        <v>561</v>
      </c>
      <c r="E15" s="12" t="s">
        <v>530</v>
      </c>
      <c r="F15" s="12" t="s">
        <v>562</v>
      </c>
    </row>
    <row r="16" customFormat="false" ht="23.25" hidden="false" customHeight="true" outlineLevel="0" collapsed="false">
      <c r="A16" s="12" t="s">
        <v>563</v>
      </c>
      <c r="B16" s="12" t="s">
        <v>527</v>
      </c>
      <c r="C16" s="12" t="s">
        <v>564</v>
      </c>
      <c r="D16" s="12" t="s">
        <v>565</v>
      </c>
      <c r="E16" s="12" t="s">
        <v>530</v>
      </c>
      <c r="F16" s="12" t="s">
        <v>566</v>
      </c>
    </row>
    <row r="17" customFormat="false" ht="34.5" hidden="false" customHeight="true" outlineLevel="0" collapsed="false">
      <c r="A17" s="12" t="s">
        <v>567</v>
      </c>
      <c r="B17" s="12" t="s">
        <v>527</v>
      </c>
      <c r="C17" s="12" t="s">
        <v>568</v>
      </c>
      <c r="D17" s="12" t="s">
        <v>569</v>
      </c>
      <c r="E17" s="12" t="s">
        <v>530</v>
      </c>
      <c r="F17" s="12" t="s">
        <v>570</v>
      </c>
    </row>
    <row r="18" customFormat="false" ht="23.25" hidden="false" customHeight="true" outlineLevel="0" collapsed="false">
      <c r="A18" s="12" t="s">
        <v>571</v>
      </c>
      <c r="B18" s="12" t="s">
        <v>527</v>
      </c>
      <c r="C18" s="12" t="s">
        <v>572</v>
      </c>
      <c r="D18" s="12" t="s">
        <v>573</v>
      </c>
      <c r="E18" s="12" t="s">
        <v>550</v>
      </c>
      <c r="F18" s="12" t="s">
        <v>574</v>
      </c>
    </row>
    <row r="19" customFormat="false" ht="23.25" hidden="false" customHeight="true" outlineLevel="0" collapsed="false">
      <c r="A19" s="12" t="s">
        <v>575</v>
      </c>
      <c r="B19" s="12" t="s">
        <v>527</v>
      </c>
      <c r="C19" s="12" t="s">
        <v>576</v>
      </c>
      <c r="D19" s="12" t="s">
        <v>577</v>
      </c>
      <c r="E19" s="12" t="s">
        <v>550</v>
      </c>
      <c r="F19" s="12" t="s">
        <v>578</v>
      </c>
    </row>
    <row r="20" customFormat="false" ht="15" hidden="false" customHeight="true" outlineLevel="0" collapsed="false">
      <c r="A20" s="36" t="s">
        <v>579</v>
      </c>
      <c r="B20" s="37"/>
      <c r="C20" s="37"/>
      <c r="D20" s="37"/>
      <c r="E20" s="37"/>
      <c r="F20" s="37"/>
    </row>
    <row r="21" customFormat="false" ht="23.25" hidden="false" customHeight="true" outlineLevel="0" collapsed="false">
      <c r="A21" s="12" t="s">
        <v>580</v>
      </c>
      <c r="B21" s="12" t="s">
        <v>527</v>
      </c>
      <c r="C21" s="12" t="s">
        <v>581</v>
      </c>
      <c r="D21" s="12" t="s">
        <v>48</v>
      </c>
      <c r="E21" s="12" t="s">
        <v>530</v>
      </c>
      <c r="F21" s="12" t="s">
        <v>582</v>
      </c>
    </row>
    <row r="22" customFormat="false" ht="23.25" hidden="false" customHeight="true" outlineLevel="0" collapsed="false">
      <c r="A22" s="12" t="s">
        <v>583</v>
      </c>
      <c r="B22" s="12" t="s">
        <v>527</v>
      </c>
      <c r="C22" s="12" t="s">
        <v>584</v>
      </c>
      <c r="D22" s="12" t="s">
        <v>585</v>
      </c>
      <c r="E22" s="12" t="s">
        <v>530</v>
      </c>
      <c r="F22" s="12" t="s">
        <v>586</v>
      </c>
    </row>
    <row r="23" customFormat="false" ht="23.25" hidden="false" customHeight="true" outlineLevel="0" collapsed="false">
      <c r="A23" s="12" t="s">
        <v>587</v>
      </c>
      <c r="B23" s="12" t="s">
        <v>527</v>
      </c>
      <c r="C23" s="12" t="s">
        <v>588</v>
      </c>
      <c r="D23" s="12" t="s">
        <v>589</v>
      </c>
      <c r="E23" s="12" t="s">
        <v>530</v>
      </c>
      <c r="F23" s="12" t="s">
        <v>590</v>
      </c>
    </row>
    <row r="24" customFormat="false" ht="23.25" hidden="false" customHeight="true" outlineLevel="0" collapsed="false">
      <c r="A24" s="12" t="s">
        <v>591</v>
      </c>
      <c r="B24" s="12" t="s">
        <v>527</v>
      </c>
      <c r="C24" s="12" t="s">
        <v>592</v>
      </c>
      <c r="D24" s="12" t="s">
        <v>593</v>
      </c>
      <c r="E24" s="12" t="s">
        <v>530</v>
      </c>
      <c r="F24" s="12" t="s">
        <v>594</v>
      </c>
    </row>
    <row r="25" customFormat="false" ht="23.25" hidden="false" customHeight="true" outlineLevel="0" collapsed="false">
      <c r="A25" s="12" t="s">
        <v>595</v>
      </c>
      <c r="B25" s="12" t="s">
        <v>527</v>
      </c>
      <c r="C25" s="12" t="s">
        <v>596</v>
      </c>
      <c r="D25" s="12" t="s">
        <v>597</v>
      </c>
      <c r="E25" s="12" t="s">
        <v>530</v>
      </c>
      <c r="F25" s="12" t="s">
        <v>598</v>
      </c>
    </row>
    <row r="26" customFormat="false" ht="15" hidden="false" customHeight="true" outlineLevel="0" collapsed="false">
      <c r="A26" s="36" t="s">
        <v>599</v>
      </c>
      <c r="B26" s="37"/>
      <c r="C26" s="37"/>
      <c r="D26" s="37"/>
      <c r="E26" s="37"/>
      <c r="F26" s="37"/>
    </row>
    <row r="27" customFormat="false" ht="15" hidden="false" customHeight="true" outlineLevel="0" collapsed="false">
      <c r="A27" s="12" t="s">
        <v>600</v>
      </c>
      <c r="B27" s="12" t="s">
        <v>527</v>
      </c>
      <c r="C27" s="12" t="s">
        <v>601</v>
      </c>
      <c r="D27" s="12" t="s">
        <v>48</v>
      </c>
      <c r="E27" s="12" t="s">
        <v>530</v>
      </c>
      <c r="F27" s="12" t="s">
        <v>602</v>
      </c>
    </row>
    <row r="28" customFormat="false" ht="23.25" hidden="false" customHeight="true" outlineLevel="0" collapsed="false">
      <c r="A28" s="12" t="s">
        <v>603</v>
      </c>
      <c r="B28" s="12" t="s">
        <v>527</v>
      </c>
      <c r="C28" s="12" t="s">
        <v>604</v>
      </c>
      <c r="D28" s="12" t="s">
        <v>605</v>
      </c>
      <c r="E28" s="12" t="s">
        <v>530</v>
      </c>
      <c r="F28" s="12" t="s">
        <v>606</v>
      </c>
    </row>
    <row r="29" customFormat="false" ht="23.25" hidden="false" customHeight="true" outlineLevel="0" collapsed="false">
      <c r="A29" s="12" t="s">
        <v>607</v>
      </c>
      <c r="B29" s="12" t="s">
        <v>527</v>
      </c>
      <c r="C29" s="12" t="s">
        <v>608</v>
      </c>
      <c r="D29" s="12" t="s">
        <v>609</v>
      </c>
      <c r="E29" s="12" t="s">
        <v>530</v>
      </c>
      <c r="F29" s="12" t="s">
        <v>610</v>
      </c>
    </row>
    <row r="30" customFormat="false" ht="23.25" hidden="false" customHeight="true" outlineLevel="0" collapsed="false">
      <c r="A30" s="12" t="s">
        <v>611</v>
      </c>
      <c r="B30" s="12" t="s">
        <v>527</v>
      </c>
      <c r="C30" s="12" t="s">
        <v>612</v>
      </c>
      <c r="D30" s="12" t="s">
        <v>48</v>
      </c>
      <c r="E30" s="12" t="s">
        <v>550</v>
      </c>
      <c r="F30" s="12" t="s">
        <v>613</v>
      </c>
    </row>
    <row r="31" customFormat="false" ht="23.25" hidden="false" customHeight="true" outlineLevel="0" collapsed="false">
      <c r="A31" s="12" t="s">
        <v>614</v>
      </c>
      <c r="B31" s="12" t="s">
        <v>527</v>
      </c>
      <c r="C31" s="12" t="s">
        <v>615</v>
      </c>
      <c r="D31" s="12" t="s">
        <v>616</v>
      </c>
      <c r="E31" s="12" t="s">
        <v>530</v>
      </c>
      <c r="F31" s="12" t="s">
        <v>617</v>
      </c>
    </row>
    <row r="32" customFormat="false" ht="15" hidden="false" customHeight="true" outlineLevel="0" collapsed="false">
      <c r="A32" s="36" t="s">
        <v>618</v>
      </c>
      <c r="B32" s="37"/>
      <c r="C32" s="37"/>
      <c r="D32" s="37"/>
      <c r="E32" s="37"/>
      <c r="F32" s="37"/>
    </row>
    <row r="33" customFormat="false" ht="23.25" hidden="false" customHeight="true" outlineLevel="0" collapsed="false">
      <c r="A33" s="12" t="s">
        <v>619</v>
      </c>
      <c r="B33" s="12" t="s">
        <v>620</v>
      </c>
      <c r="C33" s="12" t="s">
        <v>621</v>
      </c>
      <c r="D33" s="12" t="s">
        <v>622</v>
      </c>
      <c r="E33" s="12" t="s">
        <v>530</v>
      </c>
      <c r="F33" s="12" t="s">
        <v>623</v>
      </c>
    </row>
    <row r="34" customFormat="false" ht="23.25" hidden="false" customHeight="true" outlineLevel="0" collapsed="false">
      <c r="A34" s="12" t="s">
        <v>624</v>
      </c>
      <c r="B34" s="12" t="s">
        <v>620</v>
      </c>
      <c r="C34" s="12" t="s">
        <v>625</v>
      </c>
      <c r="D34" s="12" t="s">
        <v>626</v>
      </c>
      <c r="E34" s="12" t="s">
        <v>530</v>
      </c>
      <c r="F34" s="12" t="s">
        <v>627</v>
      </c>
    </row>
    <row r="35" customFormat="false" ht="23.25" hidden="false" customHeight="true" outlineLevel="0" collapsed="false">
      <c r="A35" s="12" t="s">
        <v>628</v>
      </c>
      <c r="B35" s="12" t="s">
        <v>620</v>
      </c>
      <c r="C35" s="12" t="s">
        <v>629</v>
      </c>
      <c r="D35" s="12" t="s">
        <v>630</v>
      </c>
      <c r="E35" s="12" t="s">
        <v>550</v>
      </c>
      <c r="F35" s="12" t="s">
        <v>631</v>
      </c>
    </row>
    <row r="36" customFormat="false" ht="23.25" hidden="false" customHeight="true" outlineLevel="0" collapsed="false">
      <c r="A36" s="12" t="s">
        <v>632</v>
      </c>
      <c r="B36" s="12" t="s">
        <v>620</v>
      </c>
      <c r="C36" s="12" t="s">
        <v>633</v>
      </c>
      <c r="D36" s="12" t="s">
        <v>634</v>
      </c>
      <c r="E36" s="12" t="s">
        <v>530</v>
      </c>
      <c r="F36" s="12" t="s">
        <v>635</v>
      </c>
    </row>
    <row r="37" customFormat="false" ht="23.25" hidden="false" customHeight="true" outlineLevel="0" collapsed="false">
      <c r="A37" s="12" t="s">
        <v>636</v>
      </c>
      <c r="B37" s="12" t="s">
        <v>620</v>
      </c>
      <c r="C37" s="12" t="s">
        <v>637</v>
      </c>
      <c r="D37" s="12" t="s">
        <v>638</v>
      </c>
      <c r="E37" s="12" t="s">
        <v>530</v>
      </c>
      <c r="F37" s="12" t="s">
        <v>639</v>
      </c>
    </row>
    <row r="38" customFormat="false" ht="23.25" hidden="false" customHeight="true" outlineLevel="0" collapsed="false">
      <c r="A38" s="12" t="s">
        <v>640</v>
      </c>
      <c r="B38" s="12" t="s">
        <v>620</v>
      </c>
      <c r="C38" s="12" t="s">
        <v>641</v>
      </c>
      <c r="D38" s="12" t="s">
        <v>642</v>
      </c>
      <c r="E38" s="12" t="s">
        <v>530</v>
      </c>
      <c r="F38" s="12" t="s">
        <v>643</v>
      </c>
    </row>
    <row r="39" customFormat="false" ht="15" hidden="false" customHeight="true" outlineLevel="0" collapsed="false">
      <c r="A39" s="12" t="s">
        <v>644</v>
      </c>
      <c r="B39" s="12" t="s">
        <v>620</v>
      </c>
      <c r="C39" s="12" t="s">
        <v>645</v>
      </c>
      <c r="D39" s="12" t="s">
        <v>646</v>
      </c>
      <c r="E39" s="12" t="s">
        <v>530</v>
      </c>
      <c r="F39" s="12" t="s">
        <v>647</v>
      </c>
    </row>
    <row r="40" customFormat="false" ht="23.25" hidden="false" customHeight="true" outlineLevel="0" collapsed="false">
      <c r="A40" s="12" t="s">
        <v>648</v>
      </c>
      <c r="B40" s="12" t="s">
        <v>620</v>
      </c>
      <c r="C40" s="12" t="s">
        <v>649</v>
      </c>
      <c r="D40" s="12" t="s">
        <v>650</v>
      </c>
      <c r="E40" s="12" t="s">
        <v>530</v>
      </c>
      <c r="F40" s="12" t="s">
        <v>647</v>
      </c>
    </row>
    <row r="41" customFormat="false" ht="23.25" hidden="false" customHeight="true" outlineLevel="0" collapsed="false">
      <c r="A41" s="12" t="s">
        <v>651</v>
      </c>
      <c r="B41" s="12" t="s">
        <v>620</v>
      </c>
      <c r="C41" s="12" t="s">
        <v>652</v>
      </c>
      <c r="D41" s="12" t="s">
        <v>653</v>
      </c>
      <c r="E41" s="12" t="s">
        <v>530</v>
      </c>
      <c r="F41" s="12" t="s">
        <v>654</v>
      </c>
    </row>
    <row r="42" customFormat="false" ht="15" hidden="false" customHeight="true" outlineLevel="0" collapsed="false">
      <c r="A42" s="12" t="s">
        <v>655</v>
      </c>
      <c r="B42" s="12" t="s">
        <v>620</v>
      </c>
      <c r="C42" s="12" t="s">
        <v>656</v>
      </c>
      <c r="D42" s="12" t="s">
        <v>657</v>
      </c>
      <c r="E42" s="12" t="s">
        <v>530</v>
      </c>
      <c r="F42" s="12" t="s">
        <v>658</v>
      </c>
    </row>
    <row r="43" customFormat="false" ht="23.25" hidden="false" customHeight="true" outlineLevel="0" collapsed="false">
      <c r="A43" s="12" t="s">
        <v>659</v>
      </c>
      <c r="B43" s="12" t="s">
        <v>620</v>
      </c>
      <c r="C43" s="12" t="s">
        <v>660</v>
      </c>
      <c r="D43" s="12" t="s">
        <v>661</v>
      </c>
      <c r="E43" s="12" t="s">
        <v>530</v>
      </c>
      <c r="F43" s="12" t="s">
        <v>658</v>
      </c>
    </row>
    <row r="44" customFormat="false" ht="23.25" hidden="false" customHeight="true" outlineLevel="0" collapsed="false">
      <c r="A44" s="12" t="s">
        <v>662</v>
      </c>
      <c r="B44" s="12" t="s">
        <v>620</v>
      </c>
      <c r="C44" s="12" t="s">
        <v>663</v>
      </c>
      <c r="D44" s="12" t="s">
        <v>664</v>
      </c>
      <c r="E44" s="12" t="s">
        <v>550</v>
      </c>
      <c r="F44" s="12" t="s">
        <v>665</v>
      </c>
    </row>
    <row r="45" customFormat="false" ht="23.25" hidden="false" customHeight="true" outlineLevel="0" collapsed="false">
      <c r="A45" s="12" t="s">
        <v>666</v>
      </c>
      <c r="B45" s="12" t="s">
        <v>620</v>
      </c>
      <c r="C45" s="12" t="s">
        <v>667</v>
      </c>
      <c r="D45" s="12" t="s">
        <v>668</v>
      </c>
      <c r="E45" s="12" t="s">
        <v>530</v>
      </c>
      <c r="F45" s="12" t="s">
        <v>669</v>
      </c>
    </row>
    <row r="46" customFormat="false" ht="23.25" hidden="false" customHeight="true" outlineLevel="0" collapsed="false">
      <c r="A46" s="12" t="s">
        <v>670</v>
      </c>
      <c r="B46" s="12" t="s">
        <v>620</v>
      </c>
      <c r="C46" s="12" t="s">
        <v>671</v>
      </c>
      <c r="D46" s="12" t="s">
        <v>672</v>
      </c>
      <c r="E46" s="12" t="s">
        <v>550</v>
      </c>
      <c r="F46" s="12" t="s">
        <v>673</v>
      </c>
    </row>
    <row r="47" customFormat="false" ht="23.25" hidden="false" customHeight="true" outlineLevel="0" collapsed="false">
      <c r="A47" s="12" t="s">
        <v>674</v>
      </c>
      <c r="B47" s="12" t="s">
        <v>620</v>
      </c>
      <c r="C47" s="12" t="s">
        <v>675</v>
      </c>
      <c r="D47" s="12" t="s">
        <v>676</v>
      </c>
      <c r="E47" s="12" t="s">
        <v>530</v>
      </c>
      <c r="F47" s="12" t="s">
        <v>677</v>
      </c>
    </row>
    <row r="48" customFormat="false" ht="23.25" hidden="false" customHeight="true" outlineLevel="0" collapsed="false">
      <c r="A48" s="12" t="s">
        <v>678</v>
      </c>
      <c r="B48" s="12" t="s">
        <v>620</v>
      </c>
      <c r="C48" s="12" t="s">
        <v>679</v>
      </c>
      <c r="D48" s="12" t="s">
        <v>680</v>
      </c>
      <c r="E48" s="12" t="s">
        <v>550</v>
      </c>
      <c r="F48" s="12" t="s">
        <v>681</v>
      </c>
    </row>
    <row r="49" customFormat="false" ht="23.25" hidden="false" customHeight="true" outlineLevel="0" collapsed="false">
      <c r="A49" s="12" t="s">
        <v>682</v>
      </c>
      <c r="B49" s="12" t="s">
        <v>620</v>
      </c>
      <c r="C49" s="12" t="s">
        <v>683</v>
      </c>
      <c r="D49" s="12" t="s">
        <v>684</v>
      </c>
      <c r="E49" s="12" t="s">
        <v>685</v>
      </c>
      <c r="F49" s="12" t="s">
        <v>686</v>
      </c>
    </row>
    <row r="50" customFormat="false" ht="23.25" hidden="false" customHeight="true" outlineLevel="0" collapsed="false">
      <c r="A50" s="12" t="s">
        <v>687</v>
      </c>
      <c r="B50" s="12" t="s">
        <v>688</v>
      </c>
      <c r="C50" s="12" t="s">
        <v>689</v>
      </c>
      <c r="D50" s="12" t="s">
        <v>690</v>
      </c>
      <c r="E50" s="12" t="s">
        <v>530</v>
      </c>
      <c r="F50" s="12" t="s">
        <v>691</v>
      </c>
    </row>
    <row r="51" customFormat="false" ht="23.25" hidden="false" customHeight="true" outlineLevel="0" collapsed="false">
      <c r="A51" s="12" t="s">
        <v>692</v>
      </c>
      <c r="B51" s="12" t="s">
        <v>688</v>
      </c>
      <c r="C51" s="12" t="s">
        <v>693</v>
      </c>
      <c r="D51" s="12" t="s">
        <v>694</v>
      </c>
      <c r="E51" s="12" t="s">
        <v>530</v>
      </c>
      <c r="F51" s="12" t="s">
        <v>695</v>
      </c>
    </row>
    <row r="52" customFormat="false" ht="34.5" hidden="false" customHeight="true" outlineLevel="0" collapsed="false">
      <c r="A52" s="12" t="s">
        <v>696</v>
      </c>
      <c r="B52" s="12" t="s">
        <v>688</v>
      </c>
      <c r="C52" s="12" t="s">
        <v>697</v>
      </c>
      <c r="D52" s="12" t="s">
        <v>698</v>
      </c>
      <c r="E52" s="12" t="s">
        <v>530</v>
      </c>
      <c r="F52" s="12" t="s">
        <v>699</v>
      </c>
    </row>
    <row r="53" customFormat="false" ht="23.25" hidden="false" customHeight="true" outlineLevel="0" collapsed="false">
      <c r="A53" s="12" t="s">
        <v>700</v>
      </c>
      <c r="B53" s="12" t="s">
        <v>688</v>
      </c>
      <c r="C53" s="12" t="s">
        <v>701</v>
      </c>
      <c r="D53" s="12" t="s">
        <v>702</v>
      </c>
      <c r="E53" s="12" t="s">
        <v>530</v>
      </c>
      <c r="F53" s="12" t="s">
        <v>703</v>
      </c>
    </row>
    <row r="54" customFormat="false" ht="23.25" hidden="false" customHeight="true" outlineLevel="0" collapsed="false">
      <c r="A54" s="12" t="s">
        <v>704</v>
      </c>
      <c r="B54" s="12" t="s">
        <v>688</v>
      </c>
      <c r="C54" s="12" t="s">
        <v>705</v>
      </c>
      <c r="D54" s="12" t="s">
        <v>706</v>
      </c>
      <c r="E54" s="12" t="s">
        <v>530</v>
      </c>
      <c r="F54" s="12" t="s">
        <v>707</v>
      </c>
    </row>
    <row r="55" customFormat="false" ht="23.25" hidden="false" customHeight="true" outlineLevel="0" collapsed="false">
      <c r="A55" s="12" t="s">
        <v>708</v>
      </c>
      <c r="B55" s="12" t="s">
        <v>688</v>
      </c>
      <c r="C55" s="12" t="s">
        <v>709</v>
      </c>
      <c r="D55" s="12" t="s">
        <v>710</v>
      </c>
      <c r="E55" s="12" t="s">
        <v>530</v>
      </c>
      <c r="F55" s="12" t="s">
        <v>711</v>
      </c>
    </row>
    <row r="56" customFormat="false" ht="23.25" hidden="false" customHeight="true" outlineLevel="0" collapsed="false">
      <c r="A56" s="12" t="s">
        <v>712</v>
      </c>
      <c r="B56" s="12" t="s">
        <v>688</v>
      </c>
      <c r="C56" s="12" t="s">
        <v>713</v>
      </c>
      <c r="D56" s="12" t="s">
        <v>714</v>
      </c>
      <c r="E56" s="12" t="s">
        <v>530</v>
      </c>
      <c r="F56" s="12" t="s">
        <v>715</v>
      </c>
    </row>
    <row r="57" customFormat="false" ht="23.25" hidden="false" customHeight="true" outlineLevel="0" collapsed="false">
      <c r="A57" s="12" t="s">
        <v>716</v>
      </c>
      <c r="B57" s="12" t="s">
        <v>717</v>
      </c>
      <c r="C57" s="12" t="s">
        <v>718</v>
      </c>
      <c r="D57" s="12" t="s">
        <v>719</v>
      </c>
      <c r="E57" s="12" t="s">
        <v>530</v>
      </c>
      <c r="F57" s="12" t="s">
        <v>720</v>
      </c>
    </row>
    <row r="58" customFormat="false" ht="23.25" hidden="false" customHeight="true" outlineLevel="0" collapsed="false">
      <c r="A58" s="12" t="s">
        <v>721</v>
      </c>
      <c r="B58" s="12" t="s">
        <v>717</v>
      </c>
      <c r="C58" s="12" t="s">
        <v>722</v>
      </c>
      <c r="D58" s="12" t="s">
        <v>723</v>
      </c>
      <c r="E58" s="12" t="s">
        <v>530</v>
      </c>
      <c r="F58" s="12" t="s">
        <v>724</v>
      </c>
    </row>
    <row r="59" customFormat="false" ht="23.25" hidden="false" customHeight="true" outlineLevel="0" collapsed="false">
      <c r="A59" s="12" t="s">
        <v>725</v>
      </c>
      <c r="B59" s="12" t="s">
        <v>717</v>
      </c>
      <c r="C59" s="12" t="s">
        <v>726</v>
      </c>
      <c r="D59" s="12" t="s">
        <v>723</v>
      </c>
      <c r="E59" s="12" t="s">
        <v>530</v>
      </c>
      <c r="F59" s="12" t="s">
        <v>727</v>
      </c>
    </row>
    <row r="60" customFormat="false" ht="23.25" hidden="false" customHeight="true" outlineLevel="0" collapsed="false">
      <c r="A60" s="12" t="s">
        <v>728</v>
      </c>
      <c r="B60" s="12" t="s">
        <v>717</v>
      </c>
      <c r="C60" s="12" t="s">
        <v>729</v>
      </c>
      <c r="D60" s="12" t="s">
        <v>723</v>
      </c>
      <c r="E60" s="12" t="s">
        <v>530</v>
      </c>
      <c r="F60" s="12" t="s">
        <v>730</v>
      </c>
    </row>
    <row r="61" customFormat="false" ht="34.5" hidden="false" customHeight="true" outlineLevel="0" collapsed="false">
      <c r="A61" s="12" t="s">
        <v>731</v>
      </c>
      <c r="B61" s="12" t="s">
        <v>717</v>
      </c>
      <c r="C61" s="12" t="s">
        <v>732</v>
      </c>
      <c r="D61" s="12" t="s">
        <v>733</v>
      </c>
      <c r="E61" s="12" t="s">
        <v>530</v>
      </c>
      <c r="F61" s="12" t="s">
        <v>734</v>
      </c>
    </row>
    <row r="62" customFormat="false" ht="34.5" hidden="false" customHeight="true" outlineLevel="0" collapsed="false">
      <c r="A62" s="12" t="s">
        <v>735</v>
      </c>
      <c r="B62" s="12" t="s">
        <v>717</v>
      </c>
      <c r="C62" s="12" t="s">
        <v>736</v>
      </c>
      <c r="D62" s="12" t="s">
        <v>737</v>
      </c>
      <c r="E62" s="12" t="s">
        <v>530</v>
      </c>
      <c r="F62" s="12" t="s">
        <v>738</v>
      </c>
    </row>
    <row r="63" customFormat="false" ht="23.25" hidden="false" customHeight="true" outlineLevel="0" collapsed="false">
      <c r="A63" s="12" t="s">
        <v>739</v>
      </c>
      <c r="B63" s="12" t="s">
        <v>717</v>
      </c>
      <c r="C63" s="12" t="s">
        <v>740</v>
      </c>
      <c r="D63" s="12" t="s">
        <v>741</v>
      </c>
      <c r="E63" s="12" t="s">
        <v>530</v>
      </c>
      <c r="F63" s="12" t="s">
        <v>742</v>
      </c>
    </row>
    <row r="64" customFormat="false" ht="15" hidden="false" customHeight="true" outlineLevel="0" collapsed="false">
      <c r="A64" s="12" t="s">
        <v>743</v>
      </c>
      <c r="B64" s="12" t="s">
        <v>717</v>
      </c>
      <c r="C64" s="12" t="s">
        <v>744</v>
      </c>
      <c r="D64" s="12" t="s">
        <v>745</v>
      </c>
      <c r="E64" s="12" t="s">
        <v>550</v>
      </c>
      <c r="F64" s="12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60"/>
    <col collapsed="false" customWidth="true" hidden="false" outlineLevel="0" max="7" min="7" style="1" width="11"/>
  </cols>
  <sheetData>
    <row r="1" customFormat="false" ht="15.75" hidden="false" customHeight="true" outlineLevel="0" collapsed="false">
      <c r="A1" s="2" t="s">
        <v>747</v>
      </c>
    </row>
    <row r="2" customFormat="false" ht="15" hidden="false" customHeight="true" outlineLevel="0" collapsed="false">
      <c r="A2" s="3" t="s">
        <v>518</v>
      </c>
    </row>
    <row r="4" customFormat="false" ht="23.25" hidden="false" customHeight="true" outlineLevel="0" collapsed="false">
      <c r="A4" s="11" t="s">
        <v>519</v>
      </c>
      <c r="B4" s="11" t="s">
        <v>748</v>
      </c>
      <c r="C4" s="11" t="s">
        <v>749</v>
      </c>
      <c r="D4" s="11" t="s">
        <v>750</v>
      </c>
      <c r="E4" s="11" t="s">
        <v>42</v>
      </c>
      <c r="F4" s="11" t="s">
        <v>751</v>
      </c>
      <c r="G4" s="11" t="s">
        <v>752</v>
      </c>
    </row>
    <row r="5" customFormat="false" ht="23.25" hidden="false" customHeight="true" outlineLevel="0" collapsed="false">
      <c r="A5" s="12" t="s">
        <v>753</v>
      </c>
      <c r="B5" s="12" t="s">
        <v>526</v>
      </c>
      <c r="C5" s="12" t="s">
        <v>754</v>
      </c>
      <c r="D5" s="12" t="s">
        <v>755</v>
      </c>
      <c r="E5" s="12" t="s">
        <v>756</v>
      </c>
      <c r="F5" s="12" t="s">
        <v>757</v>
      </c>
      <c r="G5" s="12" t="s">
        <v>758</v>
      </c>
    </row>
    <row r="6" customFormat="false" ht="23.25" hidden="false" customHeight="true" outlineLevel="0" collapsed="false">
      <c r="A6" s="12" t="s">
        <v>759</v>
      </c>
      <c r="B6" s="12" t="s">
        <v>619</v>
      </c>
      <c r="C6" s="12" t="s">
        <v>760</v>
      </c>
      <c r="D6" s="12" t="s">
        <v>761</v>
      </c>
      <c r="E6" s="12" t="s">
        <v>132</v>
      </c>
      <c r="F6" s="12" t="s">
        <v>762</v>
      </c>
      <c r="G6" s="12" t="s">
        <v>363</v>
      </c>
    </row>
    <row r="7" customFormat="false" ht="15" hidden="false" customHeight="true" outlineLevel="0" collapsed="false">
      <c r="A7" s="12" t="s">
        <v>763</v>
      </c>
      <c r="B7" s="12" t="s">
        <v>624</v>
      </c>
      <c r="C7" s="12" t="s">
        <v>106</v>
      </c>
      <c r="D7" s="12" t="s">
        <v>764</v>
      </c>
      <c r="E7" s="12" t="s">
        <v>45</v>
      </c>
      <c r="F7" s="12" t="s">
        <v>765</v>
      </c>
      <c r="G7" s="12" t="s">
        <v>363</v>
      </c>
    </row>
    <row r="8" customFormat="false" ht="15" hidden="false" customHeight="true" outlineLevel="0" collapsed="false">
      <c r="A8" s="12" t="s">
        <v>766</v>
      </c>
      <c r="B8" s="12" t="s">
        <v>628</v>
      </c>
      <c r="C8" s="12" t="s">
        <v>767</v>
      </c>
      <c r="D8" s="12" t="s">
        <v>768</v>
      </c>
      <c r="E8" s="12" t="s">
        <v>127</v>
      </c>
      <c r="F8" s="12" t="s">
        <v>769</v>
      </c>
      <c r="G8" s="12" t="s">
        <v>770</v>
      </c>
    </row>
    <row r="9" customFormat="false" ht="15" hidden="false" customHeight="true" outlineLevel="0" collapsed="false">
      <c r="A9" s="12" t="s">
        <v>771</v>
      </c>
      <c r="B9" s="12" t="s">
        <v>659</v>
      </c>
      <c r="C9" s="12" t="s">
        <v>145</v>
      </c>
      <c r="D9" s="12" t="s">
        <v>772</v>
      </c>
      <c r="E9" s="12" t="s">
        <v>146</v>
      </c>
      <c r="F9" s="12" t="s">
        <v>773</v>
      </c>
      <c r="G9" s="12" t="s">
        <v>363</v>
      </c>
    </row>
    <row r="10" customFormat="false" ht="23.25" hidden="false" customHeight="true" outlineLevel="0" collapsed="false">
      <c r="A10" s="12" t="s">
        <v>774</v>
      </c>
      <c r="B10" s="12" t="s">
        <v>632</v>
      </c>
      <c r="C10" s="12" t="s">
        <v>775</v>
      </c>
      <c r="D10" s="12" t="s">
        <v>776</v>
      </c>
      <c r="E10" s="12" t="s">
        <v>54</v>
      </c>
      <c r="F10" s="12" t="s">
        <v>777</v>
      </c>
      <c r="G10" s="12" t="s">
        <v>363</v>
      </c>
    </row>
    <row r="11" customFormat="false" ht="23.25" hidden="false" customHeight="true" outlineLevel="0" collapsed="false">
      <c r="A11" s="12" t="s">
        <v>778</v>
      </c>
      <c r="B11" s="12" t="s">
        <v>779</v>
      </c>
      <c r="C11" s="12" t="s">
        <v>780</v>
      </c>
      <c r="D11" s="12" t="s">
        <v>781</v>
      </c>
      <c r="E11" s="12" t="s">
        <v>157</v>
      </c>
      <c r="F11" s="12" t="s">
        <v>782</v>
      </c>
      <c r="G11" s="12" t="s">
        <v>363</v>
      </c>
    </row>
    <row r="12" customFormat="false" ht="15" hidden="false" customHeight="true" outlineLevel="0" collapsed="false">
      <c r="A12" s="12" t="s">
        <v>783</v>
      </c>
      <c r="B12" s="12" t="s">
        <v>784</v>
      </c>
      <c r="C12" s="12" t="s">
        <v>785</v>
      </c>
      <c r="D12" s="12" t="s">
        <v>786</v>
      </c>
      <c r="E12" s="12" t="s">
        <v>171</v>
      </c>
      <c r="F12" s="12" t="s">
        <v>787</v>
      </c>
      <c r="G12" s="12" t="s">
        <v>788</v>
      </c>
    </row>
    <row r="13" customFormat="false" ht="23.25" hidden="false" customHeight="true" outlineLevel="0" collapsed="false">
      <c r="A13" s="12" t="s">
        <v>789</v>
      </c>
      <c r="B13" s="12" t="s">
        <v>632</v>
      </c>
      <c r="C13" s="12" t="s">
        <v>790</v>
      </c>
      <c r="D13" s="12" t="s">
        <v>791</v>
      </c>
      <c r="E13" s="12" t="s">
        <v>157</v>
      </c>
      <c r="F13" s="12" t="s">
        <v>792</v>
      </c>
      <c r="G13" s="12" t="s">
        <v>363</v>
      </c>
    </row>
    <row r="14" customFormat="false" ht="15" hidden="false" customHeight="true" outlineLevel="0" collapsed="false">
      <c r="A14" s="12" t="s">
        <v>793</v>
      </c>
      <c r="B14" s="12" t="s">
        <v>794</v>
      </c>
      <c r="C14" s="12" t="s">
        <v>795</v>
      </c>
      <c r="D14" s="12" t="s">
        <v>796</v>
      </c>
      <c r="E14" s="12" t="s">
        <v>212</v>
      </c>
      <c r="F14" s="12" t="s">
        <v>797</v>
      </c>
      <c r="G14" s="12" t="s">
        <v>363</v>
      </c>
    </row>
    <row r="15" customFormat="false" ht="15" hidden="false" customHeight="true" outlineLevel="0" collapsed="false">
      <c r="A15" s="12" t="s">
        <v>798</v>
      </c>
      <c r="B15" s="12" t="s">
        <v>632</v>
      </c>
      <c r="C15" s="12" t="s">
        <v>799</v>
      </c>
      <c r="D15" s="12" t="s">
        <v>800</v>
      </c>
      <c r="E15" s="12" t="s">
        <v>176</v>
      </c>
      <c r="F15" s="12" t="s">
        <v>801</v>
      </c>
      <c r="G15" s="12" t="s">
        <v>802</v>
      </c>
    </row>
    <row r="16" customFormat="false" ht="23.25" hidden="false" customHeight="true" outlineLevel="0" collapsed="false">
      <c r="A16" s="12" t="s">
        <v>803</v>
      </c>
      <c r="B16" s="12" t="s">
        <v>804</v>
      </c>
      <c r="C16" s="12" t="s">
        <v>805</v>
      </c>
      <c r="D16" s="12" t="s">
        <v>806</v>
      </c>
      <c r="E16" s="12" t="s">
        <v>58</v>
      </c>
      <c r="F16" s="12" t="s">
        <v>807</v>
      </c>
      <c r="G16" s="12" t="s">
        <v>363</v>
      </c>
    </row>
    <row r="17" customFormat="false" ht="23.25" hidden="false" customHeight="true" outlineLevel="0" collapsed="false">
      <c r="A17" s="12" t="s">
        <v>808</v>
      </c>
      <c r="B17" s="12" t="s">
        <v>809</v>
      </c>
      <c r="C17" s="12" t="s">
        <v>810</v>
      </c>
      <c r="D17" s="12" t="s">
        <v>811</v>
      </c>
      <c r="E17" s="12" t="s">
        <v>812</v>
      </c>
      <c r="F17" s="12" t="s">
        <v>813</v>
      </c>
      <c r="G17" s="12" t="s">
        <v>802</v>
      </c>
    </row>
    <row r="18" customFormat="false" ht="15" hidden="false" customHeight="true" outlineLevel="0" collapsed="false">
      <c r="A18" s="12" t="s">
        <v>814</v>
      </c>
      <c r="B18" s="12" t="s">
        <v>556</v>
      </c>
      <c r="C18" s="12" t="s">
        <v>815</v>
      </c>
      <c r="D18" s="12" t="s">
        <v>816</v>
      </c>
      <c r="E18" s="12" t="s">
        <v>54</v>
      </c>
      <c r="F18" s="12" t="s">
        <v>817</v>
      </c>
      <c r="G18" s="12" t="s">
        <v>770</v>
      </c>
    </row>
    <row r="19" customFormat="false" ht="23.25" hidden="false" customHeight="true" outlineLevel="0" collapsed="false">
      <c r="A19" s="12" t="s">
        <v>818</v>
      </c>
      <c r="B19" s="12" t="s">
        <v>571</v>
      </c>
      <c r="C19" s="12" t="s">
        <v>819</v>
      </c>
      <c r="D19" s="12" t="s">
        <v>820</v>
      </c>
      <c r="E19" s="12" t="s">
        <v>58</v>
      </c>
      <c r="F19" s="12" t="s">
        <v>821</v>
      </c>
      <c r="G19" s="12" t="s">
        <v>770</v>
      </c>
    </row>
    <row r="20" customFormat="false" ht="90.75" hidden="false" customHeight="true" outlineLevel="0" collapsed="false">
      <c r="A20" s="12" t="s">
        <v>822</v>
      </c>
      <c r="B20" s="12" t="s">
        <v>823</v>
      </c>
      <c r="C20" s="12" t="s">
        <v>824</v>
      </c>
      <c r="D20" s="12" t="s">
        <v>825</v>
      </c>
      <c r="E20" s="12" t="s">
        <v>826</v>
      </c>
      <c r="F20" s="12" t="s">
        <v>827</v>
      </c>
      <c r="G20" s="12" t="s">
        <v>828</v>
      </c>
    </row>
    <row r="21" customFormat="false" ht="15" hidden="false" customHeight="true" outlineLevel="0" collapsed="false">
      <c r="A21" s="12" t="s">
        <v>829</v>
      </c>
      <c r="B21" s="12" t="s">
        <v>830</v>
      </c>
      <c r="C21" s="12" t="s">
        <v>831</v>
      </c>
      <c r="D21" s="12" t="s">
        <v>832</v>
      </c>
      <c r="E21" s="12" t="s">
        <v>272</v>
      </c>
      <c r="F21" s="12" t="s">
        <v>833</v>
      </c>
      <c r="G21" s="12" t="s">
        <v>802</v>
      </c>
    </row>
    <row r="22" customFormat="false" ht="15" hidden="false" customHeight="true" outlineLevel="0" collapsed="false">
      <c r="A22" s="12" t="s">
        <v>834</v>
      </c>
      <c r="B22" s="12" t="s">
        <v>553</v>
      </c>
      <c r="C22" s="12" t="s">
        <v>835</v>
      </c>
      <c r="D22" s="12" t="s">
        <v>836</v>
      </c>
      <c r="E22" s="12" t="s">
        <v>837</v>
      </c>
      <c r="F22" s="12" t="s">
        <v>838</v>
      </c>
      <c r="G22" s="12" t="s">
        <v>802</v>
      </c>
    </row>
    <row r="23" customFormat="false" ht="23.25" hidden="false" customHeight="true" outlineLevel="0" collapsed="false">
      <c r="A23" s="12" t="s">
        <v>839</v>
      </c>
      <c r="B23" s="12" t="s">
        <v>840</v>
      </c>
      <c r="C23" s="12" t="s">
        <v>841</v>
      </c>
      <c r="D23" s="12" t="s">
        <v>842</v>
      </c>
      <c r="E23" s="12" t="s">
        <v>843</v>
      </c>
      <c r="F23" s="12" t="s">
        <v>844</v>
      </c>
      <c r="G23" s="12" t="s">
        <v>363</v>
      </c>
    </row>
    <row r="24" customFormat="false" ht="15" hidden="false" customHeight="true" outlineLevel="0" collapsed="false">
      <c r="A24" s="12" t="s">
        <v>845</v>
      </c>
      <c r="B24" s="12" t="s">
        <v>846</v>
      </c>
      <c r="C24" s="12" t="s">
        <v>847</v>
      </c>
      <c r="D24" s="12" t="s">
        <v>848</v>
      </c>
      <c r="E24" s="12" t="s">
        <v>272</v>
      </c>
      <c r="F24" s="12" t="s">
        <v>849</v>
      </c>
      <c r="G24" s="12" t="s">
        <v>802</v>
      </c>
    </row>
    <row r="25" customFormat="false" ht="15" hidden="false" customHeight="true" outlineLevel="0" collapsed="false">
      <c r="A25" s="12" t="s">
        <v>850</v>
      </c>
      <c r="B25" s="12" t="s">
        <v>644</v>
      </c>
      <c r="C25" s="12" t="s">
        <v>851</v>
      </c>
      <c r="D25" s="12" t="s">
        <v>852</v>
      </c>
      <c r="E25" s="12" t="s">
        <v>853</v>
      </c>
      <c r="F25" s="12" t="s">
        <v>854</v>
      </c>
      <c r="G25" s="12" t="s">
        <v>363</v>
      </c>
    </row>
    <row r="26" customFormat="false" ht="23.25" hidden="false" customHeight="true" outlineLevel="0" collapsed="false">
      <c r="A26" s="12" t="s">
        <v>855</v>
      </c>
      <c r="B26" s="12" t="s">
        <v>856</v>
      </c>
      <c r="C26" s="12" t="s">
        <v>857</v>
      </c>
      <c r="D26" s="12" t="s">
        <v>858</v>
      </c>
      <c r="E26" s="12" t="s">
        <v>272</v>
      </c>
      <c r="F26" s="12" t="s">
        <v>859</v>
      </c>
      <c r="G26" s="12" t="s">
        <v>363</v>
      </c>
    </row>
    <row r="27" customFormat="false" ht="23.25" hidden="false" customHeight="true" outlineLevel="0" collapsed="false">
      <c r="A27" s="12" t="s">
        <v>860</v>
      </c>
      <c r="B27" s="12" t="s">
        <v>861</v>
      </c>
      <c r="C27" s="12" t="s">
        <v>862</v>
      </c>
      <c r="D27" s="12" t="s">
        <v>863</v>
      </c>
      <c r="E27" s="12" t="s">
        <v>341</v>
      </c>
      <c r="F27" s="12" t="s">
        <v>864</v>
      </c>
      <c r="G27" s="12" t="s">
        <v>363</v>
      </c>
    </row>
    <row r="28" customFormat="false" ht="23.25" hidden="false" customHeight="true" outlineLevel="0" collapsed="false">
      <c r="A28" s="12" t="s">
        <v>865</v>
      </c>
      <c r="B28" s="12" t="s">
        <v>583</v>
      </c>
      <c r="C28" s="12" t="s">
        <v>866</v>
      </c>
      <c r="D28" s="12" t="s">
        <v>867</v>
      </c>
      <c r="E28" s="12" t="s">
        <v>58</v>
      </c>
      <c r="F28" s="12" t="s">
        <v>868</v>
      </c>
      <c r="G28" s="12" t="s">
        <v>802</v>
      </c>
    </row>
    <row r="29" customFormat="false" ht="15" hidden="false" customHeight="true" outlineLevel="0" collapsed="false">
      <c r="A29" s="12" t="s">
        <v>869</v>
      </c>
      <c r="B29" s="12" t="s">
        <v>870</v>
      </c>
      <c r="C29" s="12" t="s">
        <v>871</v>
      </c>
      <c r="D29" s="12" t="s">
        <v>872</v>
      </c>
      <c r="E29" s="12" t="s">
        <v>58</v>
      </c>
      <c r="F29" s="12" t="s">
        <v>873</v>
      </c>
      <c r="G29" s="12" t="s">
        <v>802</v>
      </c>
    </row>
    <row r="30" customFormat="false" ht="15" hidden="false" customHeight="true" outlineLevel="0" collapsed="false">
      <c r="A30" s="12" t="s">
        <v>874</v>
      </c>
      <c r="B30" s="12" t="s">
        <v>587</v>
      </c>
      <c r="C30" s="12" t="s">
        <v>875</v>
      </c>
      <c r="D30" s="12" t="s">
        <v>876</v>
      </c>
      <c r="E30" s="12" t="s">
        <v>58</v>
      </c>
      <c r="F30" s="12" t="s">
        <v>877</v>
      </c>
      <c r="G30" s="12" t="s">
        <v>802</v>
      </c>
    </row>
    <row r="31" customFormat="false" ht="15" hidden="false" customHeight="true" outlineLevel="0" collapsed="false">
      <c r="A31" s="12" t="s">
        <v>878</v>
      </c>
      <c r="B31" s="12" t="s">
        <v>879</v>
      </c>
      <c r="C31" s="12" t="s">
        <v>311</v>
      </c>
      <c r="D31" s="12" t="s">
        <v>880</v>
      </c>
      <c r="E31" s="12" t="s">
        <v>58</v>
      </c>
      <c r="F31" s="12" t="s">
        <v>881</v>
      </c>
      <c r="G31" s="12" t="s">
        <v>363</v>
      </c>
    </row>
    <row r="32" customFormat="false" ht="15" hidden="false" customHeight="true" outlineLevel="0" collapsed="false">
      <c r="A32" s="12" t="s">
        <v>882</v>
      </c>
      <c r="B32" s="12" t="s">
        <v>883</v>
      </c>
      <c r="C32" s="12" t="s">
        <v>884</v>
      </c>
      <c r="D32" s="12" t="s">
        <v>885</v>
      </c>
      <c r="E32" s="12" t="s">
        <v>65</v>
      </c>
      <c r="F32" s="12" t="s">
        <v>886</v>
      </c>
      <c r="G32" s="12" t="s">
        <v>363</v>
      </c>
    </row>
    <row r="33" customFormat="false" ht="23.25" hidden="false" customHeight="true" outlineLevel="0" collapsed="false">
      <c r="A33" s="12" t="s">
        <v>887</v>
      </c>
      <c r="B33" s="12" t="s">
        <v>888</v>
      </c>
      <c r="C33" s="12" t="s">
        <v>889</v>
      </c>
      <c r="D33" s="12" t="s">
        <v>890</v>
      </c>
      <c r="E33" s="12" t="s">
        <v>891</v>
      </c>
      <c r="F33" s="12" t="s">
        <v>892</v>
      </c>
      <c r="G33" s="12" t="s">
        <v>363</v>
      </c>
    </row>
    <row r="34" customFormat="false" ht="23.25" hidden="false" customHeight="true" outlineLevel="0" collapsed="false">
      <c r="A34" s="12" t="s">
        <v>893</v>
      </c>
      <c r="B34" s="12" t="s">
        <v>603</v>
      </c>
      <c r="C34" s="12" t="s">
        <v>894</v>
      </c>
      <c r="D34" s="12" t="s">
        <v>895</v>
      </c>
      <c r="E34" s="12" t="s">
        <v>896</v>
      </c>
      <c r="F34" s="12" t="s">
        <v>897</v>
      </c>
      <c r="G34" s="12" t="s">
        <v>363</v>
      </c>
    </row>
    <row r="35" customFormat="false" ht="15" hidden="false" customHeight="true" outlineLevel="0" collapsed="false">
      <c r="A35" s="12" t="s">
        <v>898</v>
      </c>
      <c r="B35" s="12" t="s">
        <v>899</v>
      </c>
      <c r="C35" s="12" t="s">
        <v>900</v>
      </c>
      <c r="D35" s="12" t="s">
        <v>901</v>
      </c>
      <c r="E35" s="12" t="s">
        <v>902</v>
      </c>
      <c r="F35" s="12" t="s">
        <v>903</v>
      </c>
      <c r="G35" s="12" t="s">
        <v>363</v>
      </c>
    </row>
    <row r="36" customFormat="false" ht="23.25" hidden="false" customHeight="true" outlineLevel="0" collapsed="false">
      <c r="A36" s="12" t="s">
        <v>904</v>
      </c>
      <c r="B36" s="12" t="s">
        <v>607</v>
      </c>
      <c r="C36" s="12" t="s">
        <v>905</v>
      </c>
      <c r="D36" s="12" t="s">
        <v>906</v>
      </c>
      <c r="E36" s="12" t="s">
        <v>907</v>
      </c>
      <c r="F36" s="12" t="s">
        <v>908</v>
      </c>
      <c r="G36" s="12" t="s">
        <v>363</v>
      </c>
    </row>
    <row r="37" customFormat="false" ht="15" hidden="false" customHeight="true" outlineLevel="0" collapsed="false">
      <c r="A37" s="12" t="s">
        <v>909</v>
      </c>
      <c r="B37" s="12" t="s">
        <v>614</v>
      </c>
      <c r="C37" s="12" t="s">
        <v>910</v>
      </c>
      <c r="D37" s="12" t="s">
        <v>911</v>
      </c>
      <c r="E37" s="12" t="s">
        <v>45</v>
      </c>
      <c r="F37" s="12" t="s">
        <v>912</v>
      </c>
      <c r="G37" s="12" t="s">
        <v>363</v>
      </c>
    </row>
    <row r="38" customFormat="false" ht="15" hidden="false" customHeight="true" outlineLevel="0" collapsed="false">
      <c r="A38" s="12" t="s">
        <v>913</v>
      </c>
      <c r="B38" s="12" t="s">
        <v>914</v>
      </c>
      <c r="C38" s="12" t="s">
        <v>915</v>
      </c>
      <c r="D38" s="12" t="s">
        <v>916</v>
      </c>
      <c r="E38" s="12" t="s">
        <v>917</v>
      </c>
      <c r="F38" s="12" t="s">
        <v>918</v>
      </c>
      <c r="G38" s="12" t="s">
        <v>802</v>
      </c>
    </row>
    <row r="39" customFormat="false" ht="34.5" hidden="false" customHeight="true" outlineLevel="0" collapsed="false">
      <c r="A39" s="12" t="s">
        <v>919</v>
      </c>
      <c r="B39" s="12" t="s">
        <v>920</v>
      </c>
      <c r="C39" s="12" t="s">
        <v>921</v>
      </c>
      <c r="D39" s="12" t="s">
        <v>922</v>
      </c>
      <c r="E39" s="12" t="s">
        <v>58</v>
      </c>
      <c r="F39" s="12" t="s">
        <v>923</v>
      </c>
      <c r="G39" s="12" t="s">
        <v>802</v>
      </c>
    </row>
    <row r="40" customFormat="false" ht="34.5" hidden="false" customHeight="true" outlineLevel="0" collapsed="false">
      <c r="A40" s="12" t="s">
        <v>924</v>
      </c>
      <c r="B40" s="12" t="s">
        <v>925</v>
      </c>
      <c r="C40" s="12" t="s">
        <v>926</v>
      </c>
      <c r="D40" s="12" t="s">
        <v>927</v>
      </c>
      <c r="E40" s="12" t="s">
        <v>58</v>
      </c>
      <c r="F40" s="12" t="s">
        <v>676</v>
      </c>
      <c r="G40" s="12" t="s">
        <v>770</v>
      </c>
    </row>
    <row r="41" customFormat="false" ht="15" hidden="false" customHeight="true" outlineLevel="0" collapsed="false">
      <c r="A41" s="12" t="s">
        <v>928</v>
      </c>
      <c r="B41" s="12" t="s">
        <v>929</v>
      </c>
      <c r="C41" s="12" t="s">
        <v>930</v>
      </c>
      <c r="D41" s="12" t="s">
        <v>931</v>
      </c>
      <c r="E41" s="12" t="s">
        <v>58</v>
      </c>
      <c r="F41" s="12" t="s">
        <v>932</v>
      </c>
      <c r="G41" s="12" t="s">
        <v>363</v>
      </c>
    </row>
    <row r="42" customFormat="false" ht="15" hidden="false" customHeight="true" outlineLevel="0" collapsed="false">
      <c r="A42" s="12" t="s">
        <v>933</v>
      </c>
      <c r="B42" s="12" t="s">
        <v>687</v>
      </c>
      <c r="C42" s="12" t="s">
        <v>934</v>
      </c>
      <c r="D42" s="12" t="s">
        <v>935</v>
      </c>
      <c r="E42" s="12" t="s">
        <v>58</v>
      </c>
      <c r="F42" s="12" t="s">
        <v>936</v>
      </c>
      <c r="G42" s="12" t="s">
        <v>770</v>
      </c>
    </row>
    <row r="43" customFormat="false" ht="15" hidden="false" customHeight="true" outlineLevel="0" collapsed="false">
      <c r="A43" s="12" t="s">
        <v>937</v>
      </c>
      <c r="B43" s="12" t="s">
        <v>704</v>
      </c>
      <c r="C43" s="12" t="s">
        <v>938</v>
      </c>
      <c r="D43" s="12" t="s">
        <v>796</v>
      </c>
      <c r="E43" s="12" t="s">
        <v>939</v>
      </c>
      <c r="F43" s="12" t="s">
        <v>940</v>
      </c>
      <c r="G43" s="12" t="s">
        <v>770</v>
      </c>
    </row>
    <row r="44" customFormat="false" ht="15" hidden="false" customHeight="true" outlineLevel="0" collapsed="false">
      <c r="A44" s="12" t="s">
        <v>941</v>
      </c>
      <c r="B44" s="12" t="s">
        <v>942</v>
      </c>
      <c r="C44" s="12" t="s">
        <v>943</v>
      </c>
      <c r="D44" s="12" t="s">
        <v>944</v>
      </c>
      <c r="E44" s="12" t="s">
        <v>56</v>
      </c>
      <c r="F44" s="12" t="s">
        <v>945</v>
      </c>
      <c r="G44" s="12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48"/>
  </cols>
  <sheetData>
    <row r="1" customFormat="false" ht="15.75" hidden="false" customHeight="true" outlineLevel="0" collapsed="false">
      <c r="A1" s="2" t="s">
        <v>947</v>
      </c>
    </row>
    <row r="2" customFormat="false" ht="15" hidden="false" customHeight="true" outlineLevel="0" collapsed="false">
      <c r="A2" s="3" t="s">
        <v>518</v>
      </c>
    </row>
    <row r="4" customFormat="false" ht="15" hidden="false" customHeight="true" outlineLevel="0" collapsed="false">
      <c r="A4" s="11" t="s">
        <v>24</v>
      </c>
      <c r="B4" s="11" t="s">
        <v>26</v>
      </c>
      <c r="C4" s="11" t="s">
        <v>948</v>
      </c>
      <c r="D4" s="11" t="s">
        <v>949</v>
      </c>
    </row>
    <row r="5" customFormat="false" ht="15" hidden="false" customHeight="true" outlineLevel="0" collapsed="false">
      <c r="A5" s="12" t="s">
        <v>950</v>
      </c>
      <c r="B5" s="12" t="s">
        <v>951</v>
      </c>
      <c r="C5" s="12" t="s">
        <v>952</v>
      </c>
      <c r="D5" s="12" t="s">
        <v>953</v>
      </c>
    </row>
    <row r="6" customFormat="false" ht="15" hidden="false" customHeight="true" outlineLevel="0" collapsed="false">
      <c r="A6" s="12" t="s">
        <v>954</v>
      </c>
      <c r="B6" s="12" t="s">
        <v>955</v>
      </c>
      <c r="C6" s="12" t="s">
        <v>956</v>
      </c>
      <c r="D6" s="12" t="s">
        <v>957</v>
      </c>
    </row>
    <row r="7" customFormat="false" ht="15" hidden="false" customHeight="true" outlineLevel="0" collapsed="false">
      <c r="A7" s="12" t="s">
        <v>958</v>
      </c>
      <c r="B7" s="12" t="s">
        <v>959</v>
      </c>
      <c r="C7" s="12" t="s">
        <v>960</v>
      </c>
      <c r="D7" s="12" t="s">
        <v>961</v>
      </c>
    </row>
    <row r="8" customFormat="false" ht="15" hidden="false" customHeight="true" outlineLevel="0" collapsed="false">
      <c r="A8" s="12" t="s">
        <v>962</v>
      </c>
      <c r="B8" s="12" t="s">
        <v>963</v>
      </c>
      <c r="C8" s="12" t="s">
        <v>964</v>
      </c>
      <c r="D8" s="12" t="s">
        <v>965</v>
      </c>
    </row>
    <row r="9" customFormat="false" ht="15" hidden="false" customHeight="true" outlineLevel="0" collapsed="false">
      <c r="A9" s="12" t="s">
        <v>966</v>
      </c>
      <c r="B9" s="12" t="s">
        <v>967</v>
      </c>
      <c r="C9" s="12" t="s">
        <v>968</v>
      </c>
      <c r="D9" s="12" t="s">
        <v>969</v>
      </c>
    </row>
    <row r="10" customFormat="false" ht="15" hidden="false" customHeight="true" outlineLevel="0" collapsed="false">
      <c r="A10" s="12" t="s">
        <v>970</v>
      </c>
      <c r="B10" s="12" t="s">
        <v>971</v>
      </c>
      <c r="C10" s="12" t="s">
        <v>972</v>
      </c>
      <c r="D10" s="12" t="s">
        <v>973</v>
      </c>
    </row>
    <row r="11" customFormat="false" ht="15" hidden="false" customHeight="true" outlineLevel="0" collapsed="false">
      <c r="A11" s="12" t="s">
        <v>571</v>
      </c>
      <c r="B11" s="12" t="s">
        <v>818</v>
      </c>
      <c r="C11" s="12" t="s">
        <v>974</v>
      </c>
      <c r="D11" s="12" t="s">
        <v>975</v>
      </c>
    </row>
    <row r="12" customFormat="false" ht="15" hidden="false" customHeight="true" outlineLevel="0" collapsed="false">
      <c r="A12" s="12" t="s">
        <v>976</v>
      </c>
      <c r="B12" s="12" t="s">
        <v>58</v>
      </c>
      <c r="C12" s="12" t="s">
        <v>977</v>
      </c>
      <c r="D12" s="12" t="s">
        <v>978</v>
      </c>
    </row>
    <row r="13" customFormat="false" ht="15" hidden="false" customHeight="true" outlineLevel="0" collapsed="false">
      <c r="A13" s="12" t="s">
        <v>979</v>
      </c>
      <c r="B13" s="12" t="s">
        <v>980</v>
      </c>
      <c r="C13" s="12" t="s">
        <v>981</v>
      </c>
      <c r="D13" s="12" t="s">
        <v>982</v>
      </c>
    </row>
    <row r="14" customFormat="false" ht="15" hidden="false" customHeight="true" outlineLevel="0" collapsed="false">
      <c r="A14" s="12" t="s">
        <v>983</v>
      </c>
      <c r="B14" s="12" t="s">
        <v>984</v>
      </c>
      <c r="C14" s="12" t="s">
        <v>985</v>
      </c>
      <c r="D14" s="12" t="s">
        <v>986</v>
      </c>
    </row>
    <row r="15" customFormat="false" ht="23.25" hidden="false" customHeight="true" outlineLevel="0" collapsed="false">
      <c r="A15" s="12" t="s">
        <v>987</v>
      </c>
      <c r="B15" s="12" t="s">
        <v>988</v>
      </c>
      <c r="C15" s="12" t="s">
        <v>989</v>
      </c>
      <c r="D15" s="12" t="s">
        <v>990</v>
      </c>
    </row>
    <row r="16" customFormat="false" ht="15" hidden="false" customHeight="true" outlineLevel="0" collapsed="false">
      <c r="A16" s="12" t="s">
        <v>991</v>
      </c>
      <c r="B16" s="12" t="s">
        <v>992</v>
      </c>
      <c r="C16" s="12" t="s">
        <v>993</v>
      </c>
      <c r="D16" s="12" t="s">
        <v>994</v>
      </c>
    </row>
    <row r="17" customFormat="false" ht="15" hidden="false" customHeight="true" outlineLevel="0" collapsed="false">
      <c r="A17" s="12" t="s">
        <v>995</v>
      </c>
      <c r="B17" s="12" t="s">
        <v>928</v>
      </c>
      <c r="C17" s="12" t="s">
        <v>996</v>
      </c>
      <c r="D17" s="12" t="s">
        <v>997</v>
      </c>
    </row>
    <row r="18" customFormat="false" ht="15" hidden="false" customHeight="true" outlineLevel="0" collapsed="false">
      <c r="A18" s="12" t="s">
        <v>942</v>
      </c>
      <c r="B18" s="12" t="s">
        <v>941</v>
      </c>
      <c r="C18" s="12" t="s">
        <v>998</v>
      </c>
      <c r="D18" s="12" t="s">
        <v>999</v>
      </c>
    </row>
    <row r="19" customFormat="false" ht="15" hidden="false" customHeight="true" outlineLevel="0" collapsed="false">
      <c r="A19" s="12" t="s">
        <v>735</v>
      </c>
      <c r="B19" s="12" t="s">
        <v>1000</v>
      </c>
      <c r="C19" s="12" t="s">
        <v>1001</v>
      </c>
      <c r="D19" s="12" t="s">
        <v>1002</v>
      </c>
    </row>
    <row r="20" customFormat="false" ht="15" hidden="false" customHeight="true" outlineLevel="0" collapsed="false">
      <c r="A20" s="12" t="s">
        <v>1003</v>
      </c>
      <c r="B20" s="12" t="s">
        <v>58</v>
      </c>
      <c r="C20" s="12" t="s">
        <v>1004</v>
      </c>
      <c r="D20" s="12" t="s">
        <v>1005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6"/>
    <col collapsed="false" customWidth="true" hidden="false" outlineLevel="0" max="4" min="4" style="1" width="20"/>
    <col collapsed="false" customWidth="true" hidden="false" outlineLevel="0" max="5" min="5" style="1" width="24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36"/>
  </cols>
  <sheetData>
    <row r="1" customFormat="false" ht="15.75" hidden="false" customHeight="true" outlineLevel="0" collapsed="false">
      <c r="A1" s="2" t="s">
        <v>1006</v>
      </c>
    </row>
    <row r="2" customFormat="false" ht="15" hidden="false" customHeight="true" outlineLevel="0" collapsed="false">
      <c r="A2" s="3" t="s">
        <v>518</v>
      </c>
    </row>
    <row r="4" customFormat="false" ht="15" hidden="false" customHeight="true" outlineLevel="0" collapsed="false">
      <c r="A4" s="11" t="s">
        <v>519</v>
      </c>
      <c r="B4" s="11" t="s">
        <v>1007</v>
      </c>
      <c r="C4" s="11" t="s">
        <v>1008</v>
      </c>
      <c r="D4" s="11" t="s">
        <v>1009</v>
      </c>
      <c r="E4" s="11" t="s">
        <v>1010</v>
      </c>
      <c r="F4" s="11" t="s">
        <v>1011</v>
      </c>
      <c r="G4" s="11" t="s">
        <v>1012</v>
      </c>
      <c r="H4" s="11" t="s">
        <v>1013</v>
      </c>
    </row>
    <row r="5" customFormat="false" ht="23.25" hidden="false" customHeight="true" outlineLevel="0" collapsed="false">
      <c r="A5" s="12" t="s">
        <v>1014</v>
      </c>
      <c r="B5" s="12" t="s">
        <v>1015</v>
      </c>
      <c r="C5" s="12" t="s">
        <v>312</v>
      </c>
      <c r="D5" s="12" t="s">
        <v>1016</v>
      </c>
      <c r="E5" s="12" t="s">
        <v>1017</v>
      </c>
      <c r="F5" s="12" t="s">
        <v>1018</v>
      </c>
      <c r="G5" s="12" t="s">
        <v>58</v>
      </c>
      <c r="H5" s="12" t="s">
        <v>1019</v>
      </c>
    </row>
    <row r="6" customFormat="false" ht="23.25" hidden="false" customHeight="true" outlineLevel="0" collapsed="false">
      <c r="A6" s="12" t="s">
        <v>1020</v>
      </c>
      <c r="B6" s="12" t="s">
        <v>1015</v>
      </c>
      <c r="C6" s="12" t="s">
        <v>1021</v>
      </c>
      <c r="D6" s="12" t="s">
        <v>1022</v>
      </c>
      <c r="E6" s="12" t="s">
        <v>1023</v>
      </c>
      <c r="F6" s="12" t="s">
        <v>1024</v>
      </c>
      <c r="G6" s="12" t="s">
        <v>1025</v>
      </c>
      <c r="H6" s="12" t="s">
        <v>1026</v>
      </c>
    </row>
    <row r="7" customFormat="false" ht="23.25" hidden="false" customHeight="true" outlineLevel="0" collapsed="false">
      <c r="A7" s="12" t="s">
        <v>1027</v>
      </c>
      <c r="B7" s="12" t="s">
        <v>312</v>
      </c>
      <c r="C7" s="12" t="s">
        <v>1028</v>
      </c>
      <c r="D7" s="12" t="s">
        <v>1029</v>
      </c>
      <c r="E7" s="12" t="s">
        <v>1030</v>
      </c>
      <c r="F7" s="12" t="s">
        <v>1031</v>
      </c>
      <c r="G7" s="12" t="s">
        <v>58</v>
      </c>
      <c r="H7" s="12" t="s">
        <v>1032</v>
      </c>
    </row>
    <row r="8" customFormat="false" ht="23.25" hidden="false" customHeight="true" outlineLevel="0" collapsed="false">
      <c r="A8" s="12" t="s">
        <v>1033</v>
      </c>
      <c r="B8" s="12" t="s">
        <v>1021</v>
      </c>
      <c r="C8" s="12" t="s">
        <v>1034</v>
      </c>
      <c r="D8" s="12" t="s">
        <v>1035</v>
      </c>
      <c r="E8" s="12" t="s">
        <v>1036</v>
      </c>
      <c r="F8" s="12" t="s">
        <v>1037</v>
      </c>
      <c r="G8" s="12" t="s">
        <v>1038</v>
      </c>
      <c r="H8" s="12" t="s">
        <v>1039</v>
      </c>
    </row>
    <row r="9" customFormat="false" ht="15" hidden="false" customHeight="true" outlineLevel="0" collapsed="false">
      <c r="A9" s="12" t="s">
        <v>1040</v>
      </c>
      <c r="B9" s="12" t="s">
        <v>1021</v>
      </c>
      <c r="C9" s="12" t="s">
        <v>312</v>
      </c>
      <c r="D9" s="12" t="s">
        <v>1041</v>
      </c>
      <c r="E9" s="12" t="s">
        <v>1042</v>
      </c>
      <c r="F9" s="12" t="s">
        <v>1043</v>
      </c>
      <c r="G9" s="12" t="s">
        <v>1044</v>
      </c>
      <c r="H9" s="12" t="s">
        <v>1045</v>
      </c>
    </row>
    <row r="10" customFormat="false" ht="23.25" hidden="false" customHeight="true" outlineLevel="0" collapsed="false">
      <c r="A10" s="12" t="s">
        <v>1046</v>
      </c>
      <c r="B10" s="12" t="s">
        <v>1047</v>
      </c>
      <c r="C10" s="12" t="s">
        <v>1021</v>
      </c>
      <c r="D10" s="12" t="s">
        <v>1048</v>
      </c>
      <c r="E10" s="12" t="s">
        <v>1049</v>
      </c>
      <c r="F10" s="12" t="s">
        <v>1050</v>
      </c>
      <c r="G10" s="12" t="s">
        <v>1051</v>
      </c>
      <c r="H10" s="12" t="s">
        <v>1052</v>
      </c>
    </row>
    <row r="11" customFormat="false" ht="15" hidden="false" customHeight="true" outlineLevel="0" collapsed="false">
      <c r="A11" s="12" t="s">
        <v>1053</v>
      </c>
      <c r="B11" s="12" t="s">
        <v>1021</v>
      </c>
      <c r="C11" s="12" t="s">
        <v>1047</v>
      </c>
      <c r="D11" s="12" t="s">
        <v>1054</v>
      </c>
      <c r="E11" s="12" t="s">
        <v>1055</v>
      </c>
      <c r="F11" s="12" t="s">
        <v>1056</v>
      </c>
      <c r="G11" s="12" t="s">
        <v>1057</v>
      </c>
      <c r="H11" s="12" t="s">
        <v>1058</v>
      </c>
    </row>
    <row r="12" customFormat="false" ht="15" hidden="false" customHeight="true" outlineLevel="0" collapsed="false">
      <c r="A12" s="12" t="s">
        <v>1059</v>
      </c>
      <c r="B12" s="12" t="s">
        <v>1021</v>
      </c>
      <c r="C12" s="12" t="s">
        <v>318</v>
      </c>
      <c r="D12" s="12" t="s">
        <v>1060</v>
      </c>
      <c r="E12" s="12" t="s">
        <v>1061</v>
      </c>
      <c r="F12" s="12" t="s">
        <v>1062</v>
      </c>
      <c r="G12" s="12" t="s">
        <v>1063</v>
      </c>
      <c r="H12" s="12" t="s">
        <v>1064</v>
      </c>
    </row>
    <row r="13" customFormat="false" ht="23.25" hidden="false" customHeight="true" outlineLevel="0" collapsed="false">
      <c r="A13" s="12" t="s">
        <v>1065</v>
      </c>
      <c r="B13" s="12" t="s">
        <v>318</v>
      </c>
      <c r="C13" s="12" t="s">
        <v>312</v>
      </c>
      <c r="D13" s="12" t="s">
        <v>1066</v>
      </c>
      <c r="E13" s="12" t="s">
        <v>1067</v>
      </c>
      <c r="F13" s="12" t="s">
        <v>1056</v>
      </c>
      <c r="G13" s="12" t="s">
        <v>1068</v>
      </c>
      <c r="H13" s="12" t="s">
        <v>1069</v>
      </c>
    </row>
    <row r="14" customFormat="false" ht="23.25" hidden="false" customHeight="true" outlineLevel="0" collapsed="false">
      <c r="A14" s="12" t="s">
        <v>1070</v>
      </c>
      <c r="B14" s="12" t="s">
        <v>312</v>
      </c>
      <c r="C14" s="12" t="s">
        <v>1071</v>
      </c>
      <c r="D14" s="12" t="s">
        <v>1072</v>
      </c>
      <c r="E14" s="12" t="s">
        <v>1073</v>
      </c>
      <c r="F14" s="12" t="s">
        <v>1056</v>
      </c>
      <c r="G14" s="12" t="s">
        <v>1068</v>
      </c>
      <c r="H14" s="12" t="s">
        <v>1074</v>
      </c>
    </row>
    <row r="15" customFormat="false" ht="15" hidden="false" customHeight="true" outlineLevel="0" collapsed="false">
      <c r="A15" s="12" t="s">
        <v>1075</v>
      </c>
      <c r="B15" s="12" t="s">
        <v>1021</v>
      </c>
      <c r="C15" s="12" t="s">
        <v>1076</v>
      </c>
      <c r="D15" s="12" t="s">
        <v>1077</v>
      </c>
      <c r="E15" s="12" t="s">
        <v>1078</v>
      </c>
      <c r="F15" s="12" t="s">
        <v>1079</v>
      </c>
      <c r="G15" s="12" t="s">
        <v>1025</v>
      </c>
      <c r="H15" s="12" t="s">
        <v>1080</v>
      </c>
    </row>
    <row r="16" customFormat="false" ht="15" hidden="false" customHeight="true" outlineLevel="0" collapsed="false">
      <c r="A16" s="12" t="s">
        <v>1081</v>
      </c>
      <c r="B16" s="12" t="s">
        <v>1021</v>
      </c>
      <c r="C16" s="12" t="s">
        <v>305</v>
      </c>
      <c r="D16" s="12" t="s">
        <v>1082</v>
      </c>
      <c r="E16" s="12" t="s">
        <v>1083</v>
      </c>
      <c r="F16" s="12" t="s">
        <v>1084</v>
      </c>
      <c r="G16" s="12" t="s">
        <v>58</v>
      </c>
      <c r="H16" s="12" t="s">
        <v>1085</v>
      </c>
    </row>
    <row r="17" customFormat="false" ht="15" hidden="false" customHeight="true" outlineLevel="0" collapsed="false">
      <c r="A17" s="12" t="s">
        <v>1086</v>
      </c>
      <c r="B17" s="12" t="s">
        <v>318</v>
      </c>
      <c r="C17" s="12" t="s">
        <v>376</v>
      </c>
      <c r="D17" s="12" t="s">
        <v>1087</v>
      </c>
      <c r="E17" s="12" t="s">
        <v>1088</v>
      </c>
      <c r="F17" s="12" t="s">
        <v>1089</v>
      </c>
      <c r="G17" s="12" t="s">
        <v>1090</v>
      </c>
      <c r="H17" s="12" t="s">
        <v>1091</v>
      </c>
    </row>
    <row r="18" customFormat="false" ht="15" hidden="false" customHeight="true" outlineLevel="0" collapsed="false">
      <c r="A18" s="12" t="s">
        <v>1092</v>
      </c>
      <c r="B18" s="12" t="s">
        <v>318</v>
      </c>
      <c r="C18" s="12" t="s">
        <v>1093</v>
      </c>
      <c r="D18" s="12" t="s">
        <v>1087</v>
      </c>
      <c r="E18" s="12" t="s">
        <v>1088</v>
      </c>
      <c r="F18" s="12" t="s">
        <v>1089</v>
      </c>
      <c r="G18" s="12" t="s">
        <v>1094</v>
      </c>
      <c r="H18" s="12" t="s">
        <v>1095</v>
      </c>
    </row>
    <row r="19" customFormat="false" ht="15" hidden="false" customHeight="true" outlineLevel="0" collapsed="false">
      <c r="A19" s="12" t="s">
        <v>1096</v>
      </c>
      <c r="B19" s="12" t="s">
        <v>312</v>
      </c>
      <c r="C19" s="12" t="s">
        <v>376</v>
      </c>
      <c r="D19" s="12" t="s">
        <v>1097</v>
      </c>
      <c r="E19" s="12" t="s">
        <v>1098</v>
      </c>
      <c r="F19" s="12" t="s">
        <v>1099</v>
      </c>
      <c r="G19" s="12" t="s">
        <v>58</v>
      </c>
      <c r="H19" s="12" t="s">
        <v>1100</v>
      </c>
    </row>
    <row r="20" customFormat="false" ht="15" hidden="false" customHeight="true" outlineLevel="0" collapsed="false">
      <c r="A20" s="12" t="s">
        <v>1101</v>
      </c>
      <c r="B20" s="12" t="s">
        <v>1102</v>
      </c>
      <c r="C20" s="12" t="s">
        <v>312</v>
      </c>
      <c r="D20" s="12" t="s">
        <v>1103</v>
      </c>
      <c r="E20" s="12" t="s">
        <v>1104</v>
      </c>
      <c r="F20" s="12" t="s">
        <v>1105</v>
      </c>
      <c r="G20" s="12" t="s">
        <v>58</v>
      </c>
      <c r="H20" s="12" t="s">
        <v>1106</v>
      </c>
    </row>
    <row r="21" customFormat="false" ht="15" hidden="false" customHeight="true" outlineLevel="0" collapsed="false">
      <c r="A21" s="12" t="s">
        <v>1107</v>
      </c>
      <c r="B21" s="12" t="s">
        <v>1108</v>
      </c>
      <c r="C21" s="12" t="s">
        <v>1109</v>
      </c>
      <c r="D21" s="12" t="s">
        <v>1110</v>
      </c>
      <c r="E21" s="12" t="s">
        <v>1111</v>
      </c>
      <c r="F21" s="12" t="s">
        <v>1112</v>
      </c>
      <c r="G21" s="12" t="s">
        <v>58</v>
      </c>
      <c r="H21" s="12" t="s">
        <v>1113</v>
      </c>
    </row>
    <row r="22" customFormat="false" ht="23.25" hidden="false" customHeight="true" outlineLevel="0" collapsed="false">
      <c r="A22" s="12" t="s">
        <v>1114</v>
      </c>
      <c r="B22" s="12" t="s">
        <v>318</v>
      </c>
      <c r="C22" s="12" t="s">
        <v>1115</v>
      </c>
      <c r="D22" s="12" t="s">
        <v>1116</v>
      </c>
      <c r="E22" s="12" t="s">
        <v>1117</v>
      </c>
      <c r="F22" s="12" t="s">
        <v>58</v>
      </c>
      <c r="G22" s="12" t="s">
        <v>1118</v>
      </c>
      <c r="H22" s="12" t="s">
        <v>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0"/>
    <col collapsed="false" customWidth="true" hidden="false" outlineLevel="0" max="3" min="3" style="1" width="30"/>
    <col collapsed="false" customWidth="true" hidden="false" outlineLevel="0" max="4" min="4" style="1" width="60"/>
    <col collapsed="false" customWidth="true" hidden="false" outlineLevel="0" max="5" min="5" style="1" width="12"/>
    <col collapsed="false" customWidth="true" hidden="false" outlineLevel="0" max="6" min="6" style="1" width="50"/>
  </cols>
  <sheetData>
    <row r="1" customFormat="false" ht="15.75" hidden="false" customHeight="true" outlineLevel="0" collapsed="false">
      <c r="A1" s="2" t="s">
        <v>1119</v>
      </c>
    </row>
    <row r="2" customFormat="false" ht="15" hidden="false" customHeight="true" outlineLevel="0" collapsed="false">
      <c r="A2" s="3" t="s">
        <v>518</v>
      </c>
    </row>
    <row r="4" customFormat="false" ht="15" hidden="false" customHeight="true" outlineLevel="0" collapsed="false">
      <c r="A4" s="11" t="s">
        <v>519</v>
      </c>
      <c r="B4" s="11" t="s">
        <v>1120</v>
      </c>
      <c r="C4" s="11" t="s">
        <v>1121</v>
      </c>
      <c r="D4" s="11" t="s">
        <v>1122</v>
      </c>
      <c r="E4" s="11" t="s">
        <v>1123</v>
      </c>
    </row>
    <row r="5" customFormat="false" ht="34.5" hidden="false" customHeight="true" outlineLevel="0" collapsed="false">
      <c r="A5" s="12" t="s">
        <v>1124</v>
      </c>
      <c r="B5" s="12" t="s">
        <v>1125</v>
      </c>
      <c r="C5" s="12" t="s">
        <v>1126</v>
      </c>
      <c r="D5" s="12" t="s">
        <v>1127</v>
      </c>
      <c r="E5" s="12" t="s">
        <v>1128</v>
      </c>
    </row>
    <row r="6" customFormat="false" ht="23.25" hidden="false" customHeight="true" outlineLevel="0" collapsed="false">
      <c r="A6" s="12" t="s">
        <v>1129</v>
      </c>
      <c r="B6" s="12" t="s">
        <v>159</v>
      </c>
      <c r="C6" s="12" t="s">
        <v>1130</v>
      </c>
      <c r="D6" s="12" t="s">
        <v>1131</v>
      </c>
      <c r="E6" s="12" t="s">
        <v>1128</v>
      </c>
    </row>
    <row r="7" customFormat="false" ht="15" hidden="false" customHeight="true" outlineLevel="0" collapsed="false">
      <c r="A7" s="12" t="s">
        <v>1132</v>
      </c>
      <c r="B7" s="12" t="s">
        <v>1133</v>
      </c>
      <c r="C7" s="12" t="s">
        <v>1134</v>
      </c>
      <c r="D7" s="12" t="s">
        <v>1135</v>
      </c>
      <c r="E7" s="12" t="s">
        <v>1128</v>
      </c>
    </row>
    <row r="8" customFormat="false" ht="15" hidden="false" customHeight="true" outlineLevel="0" collapsed="false">
      <c r="A8" s="12" t="s">
        <v>1136</v>
      </c>
      <c r="B8" s="12" t="s">
        <v>1137</v>
      </c>
      <c r="C8" s="12" t="s">
        <v>1138</v>
      </c>
      <c r="D8" s="12" t="s">
        <v>1139</v>
      </c>
      <c r="E8" s="12" t="s">
        <v>1140</v>
      </c>
    </row>
    <row r="9" customFormat="false" ht="23.25" hidden="false" customHeight="true" outlineLevel="0" collapsed="false">
      <c r="A9" s="12" t="s">
        <v>1141</v>
      </c>
      <c r="B9" s="12" t="s">
        <v>1142</v>
      </c>
      <c r="C9" s="12" t="s">
        <v>1143</v>
      </c>
      <c r="D9" s="12" t="s">
        <v>1144</v>
      </c>
      <c r="E9" s="12" t="s">
        <v>1128</v>
      </c>
    </row>
    <row r="10" customFormat="false" ht="23.25" hidden="false" customHeight="true" outlineLevel="0" collapsed="false">
      <c r="A10" s="12" t="s">
        <v>1145</v>
      </c>
      <c r="B10" s="12" t="s">
        <v>1146</v>
      </c>
      <c r="C10" s="12" t="s">
        <v>1147</v>
      </c>
      <c r="D10" s="12" t="s">
        <v>1148</v>
      </c>
      <c r="E10" s="12" t="s">
        <v>1128</v>
      </c>
    </row>
    <row r="11" customFormat="false" ht="15" hidden="false" customHeight="true" outlineLevel="0" collapsed="false">
      <c r="A11" s="12" t="s">
        <v>1149</v>
      </c>
      <c r="B11" s="12" t="s">
        <v>392</v>
      </c>
      <c r="C11" s="12" t="s">
        <v>1150</v>
      </c>
      <c r="D11" s="12" t="s">
        <v>1151</v>
      </c>
      <c r="E11" s="12" t="s">
        <v>1152</v>
      </c>
    </row>
    <row r="12" customFormat="false" ht="23.25" hidden="false" customHeight="true" outlineLevel="0" collapsed="false">
      <c r="A12" s="12" t="s">
        <v>1153</v>
      </c>
      <c r="B12" s="12" t="s">
        <v>1154</v>
      </c>
      <c r="C12" s="12" t="s">
        <v>1155</v>
      </c>
      <c r="D12" s="12" t="s">
        <v>1156</v>
      </c>
      <c r="E12" s="12" t="s">
        <v>1140</v>
      </c>
    </row>
    <row r="13" customFormat="false" ht="15" hidden="false" customHeight="true" outlineLevel="0" collapsed="false">
      <c r="A13" s="12" t="s">
        <v>1157</v>
      </c>
      <c r="B13" s="12" t="s">
        <v>1158</v>
      </c>
      <c r="C13" s="12" t="s">
        <v>1159</v>
      </c>
      <c r="D13" s="12" t="s">
        <v>1160</v>
      </c>
      <c r="E13" s="12" t="s">
        <v>1140</v>
      </c>
    </row>
    <row r="15" customFormat="false" ht="15.75" hidden="false" customHeight="true" outlineLevel="0" collapsed="false">
      <c r="A15" s="2" t="s">
        <v>1161</v>
      </c>
    </row>
    <row r="16" customFormat="false" ht="15" hidden="false" customHeight="true" outlineLevel="0" collapsed="false">
      <c r="A16" s="11" t="s">
        <v>519</v>
      </c>
      <c r="B16" s="11" t="s">
        <v>1162</v>
      </c>
      <c r="C16" s="11" t="s">
        <v>1163</v>
      </c>
      <c r="D16" s="11" t="s">
        <v>1164</v>
      </c>
      <c r="E16" s="11" t="s">
        <v>802</v>
      </c>
      <c r="F16" s="11" t="s">
        <v>770</v>
      </c>
    </row>
    <row r="17" customFormat="false" ht="23.25" hidden="false" customHeight="true" outlineLevel="0" collapsed="false">
      <c r="A17" s="12" t="s">
        <v>1165</v>
      </c>
      <c r="B17" s="12" t="s">
        <v>1166</v>
      </c>
      <c r="C17" s="12" t="s">
        <v>1167</v>
      </c>
      <c r="D17" s="12" t="s">
        <v>1168</v>
      </c>
      <c r="E17" s="12" t="s">
        <v>550</v>
      </c>
      <c r="F17" s="12" t="s">
        <v>1169</v>
      </c>
    </row>
    <row r="18" customFormat="false" ht="23.25" hidden="false" customHeight="true" outlineLevel="0" collapsed="false">
      <c r="A18" s="12" t="s">
        <v>1170</v>
      </c>
      <c r="B18" s="12" t="s">
        <v>1171</v>
      </c>
      <c r="C18" s="12" t="s">
        <v>1172</v>
      </c>
      <c r="D18" s="12" t="s">
        <v>1173</v>
      </c>
      <c r="E18" s="12" t="s">
        <v>530</v>
      </c>
      <c r="F18" s="12" t="s">
        <v>1174</v>
      </c>
    </row>
    <row r="19" customFormat="false" ht="23.25" hidden="false" customHeight="true" outlineLevel="0" collapsed="false">
      <c r="A19" s="12" t="s">
        <v>1175</v>
      </c>
      <c r="B19" s="12" t="s">
        <v>1176</v>
      </c>
      <c r="C19" s="12" t="s">
        <v>1177</v>
      </c>
      <c r="D19" s="12" t="s">
        <v>1178</v>
      </c>
      <c r="E19" s="12" t="s">
        <v>550</v>
      </c>
      <c r="F19" s="12" t="s">
        <v>1174</v>
      </c>
    </row>
    <row r="20" customFormat="false" ht="23.25" hidden="false" customHeight="true" outlineLevel="0" collapsed="false">
      <c r="A20" s="12" t="s">
        <v>1179</v>
      </c>
      <c r="B20" s="12" t="s">
        <v>1180</v>
      </c>
      <c r="C20" s="12" t="s">
        <v>1181</v>
      </c>
      <c r="D20" s="12" t="s">
        <v>1182</v>
      </c>
      <c r="E20" s="12" t="s">
        <v>550</v>
      </c>
      <c r="F20" s="12" t="s">
        <v>1169</v>
      </c>
    </row>
    <row r="21" customFormat="false" ht="23.25" hidden="false" customHeight="true" outlineLevel="0" collapsed="false">
      <c r="A21" s="12" t="s">
        <v>1183</v>
      </c>
      <c r="B21" s="12" t="s">
        <v>1184</v>
      </c>
      <c r="C21" s="12" t="s">
        <v>1185</v>
      </c>
      <c r="D21" s="12" t="s">
        <v>1186</v>
      </c>
      <c r="E21" s="12" t="s">
        <v>550</v>
      </c>
      <c r="F21" s="12" t="s">
        <v>1169</v>
      </c>
    </row>
    <row r="22" customFormat="false" ht="23.25" hidden="false" customHeight="true" outlineLevel="0" collapsed="false">
      <c r="A22" s="12" t="s">
        <v>1187</v>
      </c>
      <c r="B22" s="12" t="s">
        <v>1188</v>
      </c>
      <c r="C22" s="12" t="s">
        <v>1189</v>
      </c>
      <c r="D22" s="12" t="s">
        <v>1190</v>
      </c>
      <c r="E22" s="12" t="s">
        <v>550</v>
      </c>
      <c r="F22" s="12" t="s">
        <v>1174</v>
      </c>
    </row>
    <row r="23" customFormat="false" ht="23.25" hidden="false" customHeight="true" outlineLevel="0" collapsed="false">
      <c r="A23" s="12" t="s">
        <v>1191</v>
      </c>
      <c r="B23" s="12" t="s">
        <v>1192</v>
      </c>
      <c r="C23" s="12" t="s">
        <v>1193</v>
      </c>
      <c r="D23" s="12" t="s">
        <v>1194</v>
      </c>
      <c r="E23" s="12" t="s">
        <v>685</v>
      </c>
      <c r="F23" s="12" t="s">
        <v>1169</v>
      </c>
    </row>
    <row r="24" customFormat="false" ht="23.25" hidden="false" customHeight="true" outlineLevel="0" collapsed="false">
      <c r="A24" s="12" t="s">
        <v>1195</v>
      </c>
      <c r="B24" s="12" t="s">
        <v>1196</v>
      </c>
      <c r="C24" s="12" t="s">
        <v>1197</v>
      </c>
      <c r="D24" s="12" t="s">
        <v>1198</v>
      </c>
      <c r="E24" s="12" t="s">
        <v>550</v>
      </c>
      <c r="F24" s="12" t="s">
        <v>1174</v>
      </c>
    </row>
    <row r="25" customFormat="false" ht="23.25" hidden="false" customHeight="true" outlineLevel="0" collapsed="false">
      <c r="A25" s="12" t="s">
        <v>1199</v>
      </c>
      <c r="B25" s="12" t="s">
        <v>1200</v>
      </c>
      <c r="C25" s="12" t="s">
        <v>1201</v>
      </c>
      <c r="D25" s="12" t="s">
        <v>1202</v>
      </c>
      <c r="E25" s="12" t="s">
        <v>550</v>
      </c>
      <c r="F25" s="12" t="s">
        <v>1174</v>
      </c>
    </row>
    <row r="26" customFormat="false" ht="23.25" hidden="false" customHeight="true" outlineLevel="0" collapsed="false">
      <c r="A26" s="12" t="s">
        <v>1203</v>
      </c>
      <c r="B26" s="12" t="s">
        <v>1204</v>
      </c>
      <c r="C26" s="12" t="s">
        <v>1205</v>
      </c>
      <c r="D26" s="12" t="s">
        <v>1206</v>
      </c>
      <c r="E26" s="12" t="s">
        <v>685</v>
      </c>
      <c r="F26" s="12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30"/>
    <col collapsed="false" customWidth="true" hidden="false" outlineLevel="0" max="15" min="15" style="0" width="40"/>
  </cols>
  <sheetData>
    <row r="1" customFormat="false" ht="16.15" hidden="false" customHeight="false" outlineLevel="0" collapsed="false">
      <c r="A1" s="38" t="s">
        <v>1207</v>
      </c>
    </row>
    <row r="2" customFormat="false" ht="15" hidden="false" customHeight="false" outlineLevel="0" collapsed="false">
      <c r="A2" s="39" t="s">
        <v>1208</v>
      </c>
    </row>
    <row r="4" customFormat="false" ht="35.05" hidden="false" customHeight="false" outlineLevel="0" collapsed="false">
      <c r="A4" s="40" t="s">
        <v>519</v>
      </c>
      <c r="B4" s="40" t="s">
        <v>1209</v>
      </c>
      <c r="C4" s="40" t="s">
        <v>1009</v>
      </c>
      <c r="D4" s="40" t="s">
        <v>1210</v>
      </c>
      <c r="E4" s="40" t="s">
        <v>1211</v>
      </c>
      <c r="F4" s="40" t="s">
        <v>1212</v>
      </c>
      <c r="G4" s="40" t="s">
        <v>1213</v>
      </c>
      <c r="H4" s="40" t="s">
        <v>1214</v>
      </c>
      <c r="I4" s="40" t="s">
        <v>1215</v>
      </c>
      <c r="J4" s="40" t="s">
        <v>1216</v>
      </c>
      <c r="K4" s="40" t="s">
        <v>1217</v>
      </c>
      <c r="L4" s="40" t="s">
        <v>1218</v>
      </c>
      <c r="M4" s="40" t="s">
        <v>1219</v>
      </c>
      <c r="N4" s="40" t="s">
        <v>1220</v>
      </c>
      <c r="O4" s="40" t="s">
        <v>1013</v>
      </c>
    </row>
    <row r="5" customFormat="false" ht="35.05" hidden="false" customHeight="false" outlineLevel="0" collapsed="false">
      <c r="A5" s="12" t="s">
        <v>1221</v>
      </c>
      <c r="B5" s="12" t="s">
        <v>1222</v>
      </c>
      <c r="C5" s="12" t="s">
        <v>1223</v>
      </c>
      <c r="D5" s="12" t="s">
        <v>1224</v>
      </c>
      <c r="E5" s="12" t="s">
        <v>1225</v>
      </c>
      <c r="F5" s="12" t="s">
        <v>1226</v>
      </c>
      <c r="G5" s="12" t="s">
        <v>1227</v>
      </c>
      <c r="H5" s="41" t="s">
        <v>1228</v>
      </c>
      <c r="I5" s="12" t="s">
        <v>1229</v>
      </c>
      <c r="J5" s="42" t="s">
        <v>1230</v>
      </c>
      <c r="K5" s="43" t="n">
        <v>1</v>
      </c>
      <c r="L5" s="44" t="n">
        <v>1.2</v>
      </c>
      <c r="M5" s="44" t="n">
        <f aca="false">K5*L5</f>
        <v>1.2</v>
      </c>
      <c r="N5" s="12" t="s">
        <v>1231</v>
      </c>
      <c r="O5" s="12" t="s">
        <v>1232</v>
      </c>
    </row>
    <row r="6" customFormat="false" ht="35.05" hidden="false" customHeight="false" outlineLevel="0" collapsed="false">
      <c r="A6" s="12" t="s">
        <v>1233</v>
      </c>
      <c r="B6" s="12" t="s">
        <v>1222</v>
      </c>
      <c r="C6" s="12" t="s">
        <v>1234</v>
      </c>
      <c r="D6" s="12" t="s">
        <v>1224</v>
      </c>
      <c r="E6" s="12" t="s">
        <v>1235</v>
      </c>
      <c r="F6" s="12" t="s">
        <v>1236</v>
      </c>
      <c r="G6" s="12" t="s">
        <v>1237</v>
      </c>
      <c r="H6" s="41" t="s">
        <v>1238</v>
      </c>
      <c r="I6" s="12" t="s">
        <v>1239</v>
      </c>
      <c r="J6" s="45" t="s">
        <v>1240</v>
      </c>
      <c r="K6" s="43" t="n">
        <v>1</v>
      </c>
      <c r="L6" s="44" t="n">
        <v>3.8</v>
      </c>
      <c r="M6" s="44" t="n">
        <f aca="false">K6*L6</f>
        <v>3.8</v>
      </c>
      <c r="N6" s="12" t="s">
        <v>1231</v>
      </c>
      <c r="O6" s="12" t="s">
        <v>1241</v>
      </c>
    </row>
    <row r="7" customFormat="false" ht="23.85" hidden="false" customHeight="false" outlineLevel="0" collapsed="false">
      <c r="A7" s="12" t="s">
        <v>1242</v>
      </c>
      <c r="B7" s="12" t="s">
        <v>1222</v>
      </c>
      <c r="C7" s="12" t="s">
        <v>1243</v>
      </c>
      <c r="D7" s="12" t="s">
        <v>1244</v>
      </c>
      <c r="E7" s="12" t="s">
        <v>1245</v>
      </c>
      <c r="F7" s="12" t="s">
        <v>1246</v>
      </c>
      <c r="G7" s="12" t="s">
        <v>1014</v>
      </c>
      <c r="H7" s="41" t="s">
        <v>1247</v>
      </c>
      <c r="I7" s="12" t="s">
        <v>1248</v>
      </c>
      <c r="J7" s="42" t="s">
        <v>1230</v>
      </c>
      <c r="K7" s="43" t="n">
        <v>5</v>
      </c>
      <c r="L7" s="44" t="n">
        <v>0.15</v>
      </c>
      <c r="M7" s="44" t="n">
        <f aca="false">K7*L7</f>
        <v>0.75</v>
      </c>
      <c r="N7" s="12" t="s">
        <v>1231</v>
      </c>
      <c r="O7" s="12" t="s">
        <v>1249</v>
      </c>
    </row>
    <row r="8" customFormat="false" ht="23.85" hidden="false" customHeight="false" outlineLevel="0" collapsed="false">
      <c r="A8" s="12" t="s">
        <v>1250</v>
      </c>
      <c r="B8" s="12" t="s">
        <v>1222</v>
      </c>
      <c r="C8" s="12" t="s">
        <v>1251</v>
      </c>
      <c r="D8" s="12" t="s">
        <v>1224</v>
      </c>
      <c r="E8" s="12" t="s">
        <v>1252</v>
      </c>
      <c r="F8" s="12" t="s">
        <v>1253</v>
      </c>
      <c r="G8" s="12" t="s">
        <v>1254</v>
      </c>
      <c r="H8" s="41" t="s">
        <v>1255</v>
      </c>
      <c r="I8" s="12" t="s">
        <v>1256</v>
      </c>
      <c r="J8" s="42" t="s">
        <v>1230</v>
      </c>
      <c r="K8" s="43" t="n">
        <v>14</v>
      </c>
      <c r="L8" s="44" t="n">
        <v>3.81</v>
      </c>
      <c r="M8" s="44" t="n">
        <f aca="false">K8*L8</f>
        <v>53.34</v>
      </c>
      <c r="N8" s="12" t="s">
        <v>1257</v>
      </c>
      <c r="O8" s="12" t="s">
        <v>1258</v>
      </c>
    </row>
    <row r="9" customFormat="false" ht="15" hidden="false" customHeight="false" outlineLevel="0" collapsed="false">
      <c r="A9" s="12" t="s">
        <v>1259</v>
      </c>
      <c r="B9" s="12" t="s">
        <v>1222</v>
      </c>
      <c r="C9" s="12" t="s">
        <v>1260</v>
      </c>
      <c r="D9" s="12" t="s">
        <v>1244</v>
      </c>
      <c r="E9" s="12" t="s">
        <v>1261</v>
      </c>
      <c r="F9" s="12" t="s">
        <v>1262</v>
      </c>
      <c r="G9" s="12" t="s">
        <v>1254</v>
      </c>
      <c r="H9" s="41" t="s">
        <v>1247</v>
      </c>
      <c r="I9" s="12" t="s">
        <v>1263</v>
      </c>
      <c r="J9" s="42" t="s">
        <v>1230</v>
      </c>
      <c r="K9" s="43" t="n">
        <v>14</v>
      </c>
      <c r="L9" s="44" t="n">
        <v>0.45</v>
      </c>
      <c r="M9" s="44" t="n">
        <f aca="false">K9*L9</f>
        <v>6.3</v>
      </c>
      <c r="N9" s="12" t="s">
        <v>1231</v>
      </c>
      <c r="O9" s="12"/>
    </row>
    <row r="10" customFormat="false" ht="23.85" hidden="false" customHeight="false" outlineLevel="0" collapsed="false">
      <c r="A10" s="12" t="s">
        <v>1264</v>
      </c>
      <c r="B10" s="12" t="s">
        <v>1222</v>
      </c>
      <c r="C10" s="12" t="s">
        <v>1265</v>
      </c>
      <c r="D10" s="12" t="s">
        <v>1224</v>
      </c>
      <c r="E10" s="12" t="s">
        <v>1266</v>
      </c>
      <c r="F10" s="12" t="s">
        <v>1267</v>
      </c>
      <c r="G10" s="12" t="s">
        <v>865</v>
      </c>
      <c r="H10" s="41" t="s">
        <v>1268</v>
      </c>
      <c r="I10" s="12" t="s">
        <v>1269</v>
      </c>
      <c r="J10" s="42" t="s">
        <v>1230</v>
      </c>
      <c r="K10" s="43" t="n">
        <v>1</v>
      </c>
      <c r="L10" s="44" t="n">
        <v>2.2</v>
      </c>
      <c r="M10" s="44" t="n">
        <f aca="false">K10*L10</f>
        <v>2.2</v>
      </c>
      <c r="N10" s="12" t="s">
        <v>1231</v>
      </c>
      <c r="O10" s="12"/>
    </row>
    <row r="11" customFormat="false" ht="23.85" hidden="false" customHeight="false" outlineLevel="0" collapsed="false">
      <c r="A11" s="12" t="s">
        <v>1270</v>
      </c>
      <c r="B11" s="12" t="s">
        <v>1222</v>
      </c>
      <c r="C11" s="12" t="s">
        <v>1271</v>
      </c>
      <c r="D11" s="12" t="s">
        <v>1224</v>
      </c>
      <c r="E11" s="12" t="s">
        <v>1266</v>
      </c>
      <c r="F11" s="12" t="s">
        <v>1272</v>
      </c>
      <c r="G11" s="12" t="s">
        <v>865</v>
      </c>
      <c r="H11" s="41" t="s">
        <v>1268</v>
      </c>
      <c r="I11" s="12" t="s">
        <v>1269</v>
      </c>
      <c r="J11" s="42" t="s">
        <v>1230</v>
      </c>
      <c r="K11" s="43" t="n">
        <v>1</v>
      </c>
      <c r="L11" s="44" t="n">
        <v>2.2</v>
      </c>
      <c r="M11" s="44" t="n">
        <f aca="false">K11*L11</f>
        <v>2.2</v>
      </c>
      <c r="N11" s="12" t="s">
        <v>1231</v>
      </c>
      <c r="O11" s="12" t="s">
        <v>1273</v>
      </c>
    </row>
    <row r="12" customFormat="false" ht="23.85" hidden="false" customHeight="false" outlineLevel="0" collapsed="false">
      <c r="A12" s="12" t="s">
        <v>1274</v>
      </c>
      <c r="B12" s="12" t="s">
        <v>1222</v>
      </c>
      <c r="C12" s="12" t="s">
        <v>1275</v>
      </c>
      <c r="D12" s="12" t="s">
        <v>1224</v>
      </c>
      <c r="E12" s="12" t="s">
        <v>1276</v>
      </c>
      <c r="F12" s="12" t="s">
        <v>1277</v>
      </c>
      <c r="G12" s="12" t="s">
        <v>1278</v>
      </c>
      <c r="H12" s="41" t="s">
        <v>1279</v>
      </c>
      <c r="I12" s="12" t="s">
        <v>1280</v>
      </c>
      <c r="J12" s="42" t="s">
        <v>1230</v>
      </c>
      <c r="K12" s="43" t="n">
        <v>8</v>
      </c>
      <c r="L12" s="44" t="n">
        <v>2.8</v>
      </c>
      <c r="M12" s="44" t="n">
        <f aca="false">K12*L12</f>
        <v>22.4</v>
      </c>
      <c r="N12" s="12" t="s">
        <v>1231</v>
      </c>
      <c r="O12" s="12" t="s">
        <v>1281</v>
      </c>
    </row>
    <row r="13" customFormat="false" ht="23.85" hidden="false" customHeight="false" outlineLevel="0" collapsed="false">
      <c r="A13" s="12" t="s">
        <v>1282</v>
      </c>
      <c r="B13" s="12" t="s">
        <v>1222</v>
      </c>
      <c r="C13" s="12" t="s">
        <v>1283</v>
      </c>
      <c r="D13" s="12" t="s">
        <v>1284</v>
      </c>
      <c r="E13" s="12" t="s">
        <v>1285</v>
      </c>
      <c r="F13" s="12" t="s">
        <v>1286</v>
      </c>
      <c r="G13" s="12" t="s">
        <v>1287</v>
      </c>
      <c r="H13" s="41" t="s">
        <v>1288</v>
      </c>
      <c r="I13" s="12" t="s">
        <v>1289</v>
      </c>
      <c r="J13" s="42" t="s">
        <v>1230</v>
      </c>
      <c r="K13" s="43" t="n">
        <v>1</v>
      </c>
      <c r="L13" s="44" t="n">
        <v>3.6</v>
      </c>
      <c r="M13" s="44" t="n">
        <f aca="false">K13*L13</f>
        <v>3.6</v>
      </c>
      <c r="N13" s="12" t="s">
        <v>1231</v>
      </c>
      <c r="O13" s="12" t="s">
        <v>1290</v>
      </c>
    </row>
    <row r="14" customFormat="false" ht="23.85" hidden="false" customHeight="false" outlineLevel="0" collapsed="false">
      <c r="A14" s="12" t="s">
        <v>1291</v>
      </c>
      <c r="B14" s="12" t="s">
        <v>1222</v>
      </c>
      <c r="C14" s="12" t="s">
        <v>1292</v>
      </c>
      <c r="D14" s="12" t="s">
        <v>1224</v>
      </c>
      <c r="E14" s="12" t="s">
        <v>1293</v>
      </c>
      <c r="F14" s="12" t="s">
        <v>1294</v>
      </c>
      <c r="G14" s="12" t="s">
        <v>1295</v>
      </c>
      <c r="H14" s="41" t="s">
        <v>1296</v>
      </c>
      <c r="I14" s="12" t="s">
        <v>1297</v>
      </c>
      <c r="J14" s="42" t="s">
        <v>1230</v>
      </c>
      <c r="K14" s="43" t="n">
        <v>1</v>
      </c>
      <c r="L14" s="44" t="n">
        <v>1.55</v>
      </c>
      <c r="M14" s="44" t="n">
        <f aca="false">K14*L14</f>
        <v>1.55</v>
      </c>
      <c r="N14" s="12" t="s">
        <v>1231</v>
      </c>
      <c r="O14" s="12" t="s">
        <v>1298</v>
      </c>
    </row>
    <row r="15" customFormat="false" ht="23.85" hidden="false" customHeight="false" outlineLevel="0" collapsed="false">
      <c r="A15" s="12" t="s">
        <v>1299</v>
      </c>
      <c r="B15" s="12" t="s">
        <v>1222</v>
      </c>
      <c r="C15" s="12" t="s">
        <v>1300</v>
      </c>
      <c r="D15" s="12" t="s">
        <v>1224</v>
      </c>
      <c r="E15" s="12" t="s">
        <v>1301</v>
      </c>
      <c r="F15" s="12" t="s">
        <v>1302</v>
      </c>
      <c r="G15" s="12" t="s">
        <v>1303</v>
      </c>
      <c r="H15" s="41" t="s">
        <v>1304</v>
      </c>
      <c r="I15" s="12" t="s">
        <v>1305</v>
      </c>
      <c r="J15" s="42" t="s">
        <v>1230</v>
      </c>
      <c r="K15" s="43" t="n">
        <v>2</v>
      </c>
      <c r="L15" s="44" t="n">
        <v>1.1</v>
      </c>
      <c r="M15" s="44" t="n">
        <f aca="false">K15*L15</f>
        <v>2.2</v>
      </c>
      <c r="N15" s="12" t="s">
        <v>1231</v>
      </c>
      <c r="O15" s="12" t="s">
        <v>1306</v>
      </c>
    </row>
    <row r="16" customFormat="false" ht="23.85" hidden="false" customHeight="false" outlineLevel="0" collapsed="false">
      <c r="A16" s="12" t="s">
        <v>1307</v>
      </c>
      <c r="B16" s="12" t="s">
        <v>1222</v>
      </c>
      <c r="C16" s="12" t="s">
        <v>1308</v>
      </c>
      <c r="D16" s="12" t="s">
        <v>1309</v>
      </c>
      <c r="E16" s="12" t="s">
        <v>1310</v>
      </c>
      <c r="F16" s="12" t="s">
        <v>1311</v>
      </c>
      <c r="G16" s="12" t="s">
        <v>1312</v>
      </c>
      <c r="H16" s="41" t="s">
        <v>1313</v>
      </c>
      <c r="I16" s="12" t="s">
        <v>1314</v>
      </c>
      <c r="J16" s="42" t="s">
        <v>1230</v>
      </c>
      <c r="K16" s="43" t="n">
        <v>3</v>
      </c>
      <c r="L16" s="44" t="n">
        <v>0.55</v>
      </c>
      <c r="M16" s="44" t="n">
        <f aca="false">K16*L16</f>
        <v>1.65</v>
      </c>
      <c r="N16" s="12" t="s">
        <v>1231</v>
      </c>
      <c r="O16" s="12" t="s">
        <v>1315</v>
      </c>
    </row>
    <row r="17" customFormat="false" ht="23.85" hidden="false" customHeight="false" outlineLevel="0" collapsed="false">
      <c r="A17" s="12" t="s">
        <v>1316</v>
      </c>
      <c r="B17" s="12" t="s">
        <v>1222</v>
      </c>
      <c r="C17" s="12" t="s">
        <v>1317</v>
      </c>
      <c r="D17" s="12" t="s">
        <v>1244</v>
      </c>
      <c r="E17" s="12" t="s">
        <v>1318</v>
      </c>
      <c r="F17" s="12" t="s">
        <v>1319</v>
      </c>
      <c r="G17" s="12" t="s">
        <v>1320</v>
      </c>
      <c r="H17" s="41" t="s">
        <v>1247</v>
      </c>
      <c r="I17" s="12" t="s">
        <v>1321</v>
      </c>
      <c r="J17" s="42" t="s">
        <v>1230</v>
      </c>
      <c r="K17" s="43" t="n">
        <v>1</v>
      </c>
      <c r="L17" s="44" t="n">
        <v>0.2</v>
      </c>
      <c r="M17" s="44" t="n">
        <f aca="false">K17*L17</f>
        <v>0.2</v>
      </c>
      <c r="N17" s="12" t="s">
        <v>1231</v>
      </c>
      <c r="O17" s="12"/>
    </row>
    <row r="18" customFormat="false" ht="23.85" hidden="false" customHeight="false" outlineLevel="0" collapsed="false">
      <c r="A18" s="12" t="s">
        <v>1322</v>
      </c>
      <c r="B18" s="12" t="s">
        <v>1222</v>
      </c>
      <c r="C18" s="12" t="s">
        <v>1323</v>
      </c>
      <c r="D18" s="12" t="s">
        <v>1324</v>
      </c>
      <c r="E18" s="12" t="s">
        <v>1325</v>
      </c>
      <c r="F18" s="12" t="s">
        <v>1326</v>
      </c>
      <c r="G18" s="12" t="s">
        <v>1327</v>
      </c>
      <c r="H18" s="41" t="s">
        <v>1328</v>
      </c>
      <c r="I18" s="12" t="s">
        <v>1329</v>
      </c>
      <c r="J18" s="42" t="s">
        <v>1230</v>
      </c>
      <c r="K18" s="43" t="n">
        <v>8</v>
      </c>
      <c r="L18" s="44" t="n">
        <v>0.3</v>
      </c>
      <c r="M18" s="44" t="n">
        <f aca="false">K18*L18</f>
        <v>2.4</v>
      </c>
      <c r="N18" s="12" t="s">
        <v>1231</v>
      </c>
      <c r="O18" s="12"/>
    </row>
    <row r="19" customFormat="false" ht="23.85" hidden="false" customHeight="false" outlineLevel="0" collapsed="false">
      <c r="A19" s="12" t="s">
        <v>1330</v>
      </c>
      <c r="B19" s="12" t="s">
        <v>1222</v>
      </c>
      <c r="C19" s="12" t="s">
        <v>1331</v>
      </c>
      <c r="D19" s="12" t="s">
        <v>1332</v>
      </c>
      <c r="E19" s="12" t="s">
        <v>1333</v>
      </c>
      <c r="F19" s="12" t="s">
        <v>1334</v>
      </c>
      <c r="G19" s="12" t="s">
        <v>1335</v>
      </c>
      <c r="H19" s="41" t="s">
        <v>1336</v>
      </c>
      <c r="I19" s="12" t="s">
        <v>1337</v>
      </c>
      <c r="J19" s="42" t="s">
        <v>1230</v>
      </c>
      <c r="K19" s="43" t="n">
        <v>2</v>
      </c>
      <c r="L19" s="44" t="n">
        <v>1.1</v>
      </c>
      <c r="M19" s="44" t="n">
        <f aca="false">K19*L19</f>
        <v>2.2</v>
      </c>
      <c r="N19" s="12" t="s">
        <v>1231</v>
      </c>
      <c r="O19" s="12" t="s">
        <v>1338</v>
      </c>
    </row>
    <row r="20" customFormat="false" ht="23.85" hidden="false" customHeight="false" outlineLevel="0" collapsed="false">
      <c r="A20" s="12" t="s">
        <v>1339</v>
      </c>
      <c r="B20" s="12" t="s">
        <v>1222</v>
      </c>
      <c r="C20" s="12" t="s">
        <v>1340</v>
      </c>
      <c r="D20" s="12" t="s">
        <v>1341</v>
      </c>
      <c r="E20" s="12" t="s">
        <v>1342</v>
      </c>
      <c r="F20" s="12" t="s">
        <v>1343</v>
      </c>
      <c r="G20" s="12" t="s">
        <v>1344</v>
      </c>
      <c r="H20" s="41" t="s">
        <v>1345</v>
      </c>
      <c r="I20" s="12" t="s">
        <v>1346</v>
      </c>
      <c r="J20" s="42" t="s">
        <v>1230</v>
      </c>
      <c r="K20" s="43" t="n">
        <v>1</v>
      </c>
      <c r="L20" s="44" t="n">
        <v>3.2</v>
      </c>
      <c r="M20" s="44" t="n">
        <f aca="false">K20*L20</f>
        <v>3.2</v>
      </c>
      <c r="N20" s="12" t="s">
        <v>1231</v>
      </c>
      <c r="O20" s="12" t="s">
        <v>1347</v>
      </c>
    </row>
    <row r="21" customFormat="false" ht="35.05" hidden="false" customHeight="false" outlineLevel="0" collapsed="false">
      <c r="A21" s="12" t="s">
        <v>1348</v>
      </c>
      <c r="B21" s="12" t="s">
        <v>1349</v>
      </c>
      <c r="C21" s="12" t="s">
        <v>1350</v>
      </c>
      <c r="D21" s="12" t="s">
        <v>1284</v>
      </c>
      <c r="E21" s="12" t="s">
        <v>1351</v>
      </c>
      <c r="F21" s="12" t="s">
        <v>1352</v>
      </c>
      <c r="G21" s="12" t="s">
        <v>1353</v>
      </c>
      <c r="H21" s="41" t="s">
        <v>1354</v>
      </c>
      <c r="I21" s="12" t="s">
        <v>1355</v>
      </c>
      <c r="J21" s="42" t="s">
        <v>1230</v>
      </c>
      <c r="K21" s="43" t="n">
        <v>1</v>
      </c>
      <c r="L21" s="44" t="n">
        <v>16.84</v>
      </c>
      <c r="M21" s="44" t="n">
        <f aca="false">K21*L21</f>
        <v>16.84</v>
      </c>
      <c r="N21" s="12" t="s">
        <v>1257</v>
      </c>
      <c r="O21" s="12" t="s">
        <v>1356</v>
      </c>
    </row>
    <row r="22" customFormat="false" ht="23.85" hidden="false" customHeight="false" outlineLevel="0" collapsed="false">
      <c r="A22" s="12" t="s">
        <v>1357</v>
      </c>
      <c r="B22" s="12" t="s">
        <v>1349</v>
      </c>
      <c r="C22" s="12" t="s">
        <v>1358</v>
      </c>
      <c r="D22" s="12" t="s">
        <v>1359</v>
      </c>
      <c r="E22" s="12" t="s">
        <v>1360</v>
      </c>
      <c r="F22" s="12" t="s">
        <v>1361</v>
      </c>
      <c r="G22" s="12" t="s">
        <v>789</v>
      </c>
      <c r="H22" s="41" t="s">
        <v>1362</v>
      </c>
      <c r="I22" s="12" t="s">
        <v>1363</v>
      </c>
      <c r="J22" s="42" t="s">
        <v>1230</v>
      </c>
      <c r="K22" s="43" t="n">
        <v>1</v>
      </c>
      <c r="L22" s="44" t="n">
        <v>3.4</v>
      </c>
      <c r="M22" s="44" t="n">
        <f aca="false">K22*L22</f>
        <v>3.4</v>
      </c>
      <c r="N22" s="12" t="s">
        <v>1231</v>
      </c>
      <c r="O22" s="12" t="s">
        <v>1364</v>
      </c>
    </row>
    <row r="23" customFormat="false" ht="35.05" hidden="false" customHeight="false" outlineLevel="0" collapsed="false">
      <c r="A23" s="12" t="s">
        <v>1365</v>
      </c>
      <c r="B23" s="12" t="s">
        <v>1349</v>
      </c>
      <c r="C23" s="12" t="s">
        <v>1366</v>
      </c>
      <c r="D23" s="12" t="s">
        <v>1367</v>
      </c>
      <c r="E23" s="12" t="s">
        <v>1368</v>
      </c>
      <c r="F23" s="12" t="s">
        <v>1369</v>
      </c>
      <c r="G23" s="12" t="s">
        <v>1370</v>
      </c>
      <c r="H23" s="41" t="s">
        <v>1371</v>
      </c>
      <c r="I23" s="12" t="s">
        <v>1372</v>
      </c>
      <c r="J23" s="45" t="s">
        <v>1240</v>
      </c>
      <c r="K23" s="43" t="n">
        <v>1</v>
      </c>
      <c r="L23" s="44" t="n">
        <v>9.5</v>
      </c>
      <c r="M23" s="44" t="n">
        <f aca="false">K23*L23</f>
        <v>9.5</v>
      </c>
      <c r="N23" s="12" t="s">
        <v>1373</v>
      </c>
      <c r="O23" s="12" t="s">
        <v>1374</v>
      </c>
    </row>
    <row r="24" customFormat="false" ht="23.85" hidden="false" customHeight="false" outlineLevel="0" collapsed="false">
      <c r="A24" s="12" t="s">
        <v>1375</v>
      </c>
      <c r="B24" s="12" t="s">
        <v>1349</v>
      </c>
      <c r="C24" s="12" t="s">
        <v>1376</v>
      </c>
      <c r="D24" s="12" t="s">
        <v>1377</v>
      </c>
      <c r="E24" s="12" t="s">
        <v>1378</v>
      </c>
      <c r="F24" s="12" t="s">
        <v>1379</v>
      </c>
      <c r="G24" s="12" t="s">
        <v>1380</v>
      </c>
      <c r="H24" s="41" t="s">
        <v>1381</v>
      </c>
      <c r="I24" s="12" t="s">
        <v>1382</v>
      </c>
      <c r="J24" s="42" t="s">
        <v>1230</v>
      </c>
      <c r="K24" s="43" t="n">
        <v>1</v>
      </c>
      <c r="L24" s="44" t="n">
        <v>2.1</v>
      </c>
      <c r="M24" s="44" t="n">
        <f aca="false">K24*L24</f>
        <v>2.1</v>
      </c>
      <c r="N24" s="12" t="s">
        <v>1231</v>
      </c>
      <c r="O24" s="12"/>
    </row>
    <row r="25" customFormat="false" ht="23.85" hidden="false" customHeight="false" outlineLevel="0" collapsed="false">
      <c r="A25" s="12" t="s">
        <v>1383</v>
      </c>
      <c r="B25" s="12" t="s">
        <v>1349</v>
      </c>
      <c r="C25" s="12" t="s">
        <v>1384</v>
      </c>
      <c r="D25" s="12" t="s">
        <v>1309</v>
      </c>
      <c r="E25" s="12" t="s">
        <v>1385</v>
      </c>
      <c r="F25" s="12" t="s">
        <v>1386</v>
      </c>
      <c r="G25" s="12" t="s">
        <v>924</v>
      </c>
      <c r="H25" s="41" t="s">
        <v>1313</v>
      </c>
      <c r="I25" s="12" t="s">
        <v>1387</v>
      </c>
      <c r="J25" s="42" t="s">
        <v>1230</v>
      </c>
      <c r="K25" s="43" t="n">
        <v>1</v>
      </c>
      <c r="L25" s="44" t="n">
        <v>4.6</v>
      </c>
      <c r="M25" s="44" t="n">
        <f aca="false">K25*L25</f>
        <v>4.6</v>
      </c>
      <c r="N25" s="12" t="s">
        <v>1231</v>
      </c>
      <c r="O25" s="12"/>
    </row>
    <row r="26" customFormat="false" ht="15" hidden="false" customHeight="false" outlineLevel="0" collapsed="false">
      <c r="A26" s="12" t="s">
        <v>1388</v>
      </c>
      <c r="B26" s="12" t="s">
        <v>1349</v>
      </c>
      <c r="C26" s="12" t="s">
        <v>1389</v>
      </c>
      <c r="D26" s="12" t="s">
        <v>1390</v>
      </c>
      <c r="E26" s="12" t="s">
        <v>1391</v>
      </c>
      <c r="F26" s="12" t="s">
        <v>1392</v>
      </c>
      <c r="G26" s="12" t="s">
        <v>1393</v>
      </c>
      <c r="H26" s="41" t="s">
        <v>1394</v>
      </c>
      <c r="I26" s="12" t="s">
        <v>1395</v>
      </c>
      <c r="J26" s="42" t="s">
        <v>1230</v>
      </c>
      <c r="K26" s="43" t="n">
        <v>1</v>
      </c>
      <c r="L26" s="44" t="n">
        <v>6.5</v>
      </c>
      <c r="M26" s="44" t="n">
        <f aca="false">K26*L26</f>
        <v>6.5</v>
      </c>
      <c r="N26" s="12" t="s">
        <v>1231</v>
      </c>
      <c r="O26" s="12" t="s">
        <v>1396</v>
      </c>
    </row>
    <row r="27" customFormat="false" ht="15" hidden="false" customHeight="false" outlineLevel="0" collapsed="false">
      <c r="A27" s="12" t="s">
        <v>1397</v>
      </c>
      <c r="B27" s="12" t="s">
        <v>1349</v>
      </c>
      <c r="C27" s="12" t="s">
        <v>1398</v>
      </c>
      <c r="D27" s="12" t="s">
        <v>1224</v>
      </c>
      <c r="E27" s="12" t="s">
        <v>1399</v>
      </c>
      <c r="F27" s="12" t="s">
        <v>1400</v>
      </c>
      <c r="G27" s="12" t="s">
        <v>1401</v>
      </c>
      <c r="H27" s="41" t="s">
        <v>1402</v>
      </c>
      <c r="I27" s="12" t="s">
        <v>1403</v>
      </c>
      <c r="J27" s="42" t="s">
        <v>1230</v>
      </c>
      <c r="K27" s="43" t="n">
        <v>1</v>
      </c>
      <c r="L27" s="44" t="n">
        <v>1.3</v>
      </c>
      <c r="M27" s="44" t="n">
        <f aca="false">K27*L27</f>
        <v>1.3</v>
      </c>
      <c r="N27" s="12" t="s">
        <v>1231</v>
      </c>
      <c r="O27" s="12"/>
    </row>
    <row r="28" customFormat="false" ht="23.85" hidden="false" customHeight="false" outlineLevel="0" collapsed="false">
      <c r="A28" s="12" t="s">
        <v>1404</v>
      </c>
      <c r="B28" s="12" t="s">
        <v>1349</v>
      </c>
      <c r="C28" s="12" t="s">
        <v>1405</v>
      </c>
      <c r="D28" s="12" t="s">
        <v>1406</v>
      </c>
      <c r="E28" s="12" t="s">
        <v>1407</v>
      </c>
      <c r="F28" s="12" t="s">
        <v>1408</v>
      </c>
      <c r="G28" s="12" t="s">
        <v>1409</v>
      </c>
      <c r="H28" s="41" t="s">
        <v>1410</v>
      </c>
      <c r="I28" s="12" t="s">
        <v>1411</v>
      </c>
      <c r="J28" s="42" t="s">
        <v>1230</v>
      </c>
      <c r="K28" s="43" t="n">
        <v>1</v>
      </c>
      <c r="L28" s="44" t="n">
        <v>8.9</v>
      </c>
      <c r="M28" s="44" t="n">
        <f aca="false">K28*L28</f>
        <v>8.9</v>
      </c>
      <c r="N28" s="12" t="s">
        <v>1231</v>
      </c>
      <c r="O28" s="12"/>
    </row>
    <row r="29" customFormat="false" ht="23.85" hidden="false" customHeight="false" outlineLevel="0" collapsed="false">
      <c r="A29" s="12" t="s">
        <v>1412</v>
      </c>
      <c r="B29" s="12" t="s">
        <v>1349</v>
      </c>
      <c r="C29" s="12" t="s">
        <v>1413</v>
      </c>
      <c r="D29" s="12" t="s">
        <v>1414</v>
      </c>
      <c r="E29" s="12" t="s">
        <v>1415</v>
      </c>
      <c r="F29" s="12" t="s">
        <v>1416</v>
      </c>
      <c r="G29" s="12" t="s">
        <v>1417</v>
      </c>
      <c r="H29" s="41" t="s">
        <v>1418</v>
      </c>
      <c r="I29" s="12" t="s">
        <v>1419</v>
      </c>
      <c r="J29" s="42" t="s">
        <v>1230</v>
      </c>
      <c r="K29" s="43" t="n">
        <v>1</v>
      </c>
      <c r="L29" s="44" t="n">
        <v>28</v>
      </c>
      <c r="M29" s="44" t="n">
        <f aca="false">K29*L29</f>
        <v>28</v>
      </c>
      <c r="N29" s="12" t="s">
        <v>1231</v>
      </c>
      <c r="O29" s="12" t="s">
        <v>1420</v>
      </c>
    </row>
    <row r="30" customFormat="false" ht="23.85" hidden="false" customHeight="false" outlineLevel="0" collapsed="false">
      <c r="A30" s="12" t="s">
        <v>1421</v>
      </c>
      <c r="B30" s="12" t="s">
        <v>1349</v>
      </c>
      <c r="C30" s="12" t="s">
        <v>1422</v>
      </c>
      <c r="D30" s="12" t="s">
        <v>1224</v>
      </c>
      <c r="E30" s="12" t="s">
        <v>1423</v>
      </c>
      <c r="F30" s="12" t="s">
        <v>1424</v>
      </c>
      <c r="G30" s="12" t="s">
        <v>1425</v>
      </c>
      <c r="H30" s="41" t="s">
        <v>1426</v>
      </c>
      <c r="I30" s="12" t="s">
        <v>1427</v>
      </c>
      <c r="J30" s="42" t="s">
        <v>1230</v>
      </c>
      <c r="K30" s="43" t="n">
        <v>3</v>
      </c>
      <c r="L30" s="44" t="n">
        <v>0.85</v>
      </c>
      <c r="M30" s="44" t="n">
        <f aca="false">K30*L30</f>
        <v>2.55</v>
      </c>
      <c r="N30" s="12" t="s">
        <v>1231</v>
      </c>
      <c r="O30" s="12" t="s">
        <v>1428</v>
      </c>
    </row>
    <row r="31" customFormat="false" ht="15" hidden="false" customHeight="false" outlineLevel="0" collapsed="false">
      <c r="A31" s="12" t="s">
        <v>1429</v>
      </c>
      <c r="B31" s="12" t="s">
        <v>1349</v>
      </c>
      <c r="C31" s="12" t="s">
        <v>1292</v>
      </c>
      <c r="D31" s="12" t="s">
        <v>1224</v>
      </c>
      <c r="E31" s="12" t="s">
        <v>1293</v>
      </c>
      <c r="F31" s="12" t="s">
        <v>1430</v>
      </c>
      <c r="G31" s="12" t="s">
        <v>1033</v>
      </c>
      <c r="H31" s="41" t="s">
        <v>1296</v>
      </c>
      <c r="I31" s="12" t="s">
        <v>1297</v>
      </c>
      <c r="J31" s="42" t="s">
        <v>1230</v>
      </c>
      <c r="K31" s="43" t="n">
        <v>1</v>
      </c>
      <c r="L31" s="44" t="n">
        <v>1.55</v>
      </c>
      <c r="M31" s="44" t="n">
        <f aca="false">K31*L31</f>
        <v>1.55</v>
      </c>
      <c r="N31" s="12" t="s">
        <v>1231</v>
      </c>
      <c r="O31" s="12"/>
    </row>
    <row r="32" customFormat="false" ht="23.85" hidden="false" customHeight="false" outlineLevel="0" collapsed="false">
      <c r="A32" s="12" t="s">
        <v>1431</v>
      </c>
      <c r="B32" s="12" t="s">
        <v>1349</v>
      </c>
      <c r="C32" s="12" t="s">
        <v>1432</v>
      </c>
      <c r="D32" s="12" t="s">
        <v>1433</v>
      </c>
      <c r="E32" s="12" t="s">
        <v>1434</v>
      </c>
      <c r="F32" s="12" t="s">
        <v>1435</v>
      </c>
      <c r="G32" s="12" t="s">
        <v>1436</v>
      </c>
      <c r="H32" s="41" t="s">
        <v>1437</v>
      </c>
      <c r="I32" s="12" t="s">
        <v>1438</v>
      </c>
      <c r="J32" s="42" t="s">
        <v>1230</v>
      </c>
      <c r="K32" s="43" t="n">
        <v>1</v>
      </c>
      <c r="L32" s="44" t="n">
        <v>1.1</v>
      </c>
      <c r="M32" s="44" t="n">
        <f aca="false">K32*L32</f>
        <v>1.1</v>
      </c>
      <c r="N32" s="12" t="s">
        <v>1231</v>
      </c>
      <c r="O32" s="12" t="s">
        <v>1439</v>
      </c>
    </row>
    <row r="33" customFormat="false" ht="15" hidden="false" customHeight="false" outlineLevel="0" collapsed="false">
      <c r="A33" s="12" t="s">
        <v>1440</v>
      </c>
      <c r="B33" s="12" t="s">
        <v>1349</v>
      </c>
      <c r="C33" s="12" t="s">
        <v>1441</v>
      </c>
      <c r="D33" s="12" t="s">
        <v>1341</v>
      </c>
      <c r="E33" s="12" t="s">
        <v>1442</v>
      </c>
      <c r="F33" s="12" t="s">
        <v>1443</v>
      </c>
      <c r="G33" s="12" t="s">
        <v>976</v>
      </c>
      <c r="H33" s="41" t="s">
        <v>1444</v>
      </c>
      <c r="I33" s="12" t="s">
        <v>1445</v>
      </c>
      <c r="J33" s="42" t="s">
        <v>1230</v>
      </c>
      <c r="K33" s="43" t="n">
        <v>1</v>
      </c>
      <c r="L33" s="44" t="n">
        <v>0.95</v>
      </c>
      <c r="M33" s="44" t="n">
        <f aca="false">K33*L33</f>
        <v>0.95</v>
      </c>
      <c r="N33" s="12" t="s">
        <v>1231</v>
      </c>
      <c r="O33" s="12"/>
    </row>
    <row r="34" customFormat="false" ht="15" hidden="false" customHeight="false" outlineLevel="0" collapsed="false">
      <c r="A34" s="12" t="s">
        <v>1446</v>
      </c>
      <c r="B34" s="12" t="s">
        <v>1349</v>
      </c>
      <c r="C34" s="12" t="s">
        <v>1447</v>
      </c>
      <c r="D34" s="12" t="s">
        <v>1341</v>
      </c>
      <c r="E34" s="12" t="s">
        <v>1342</v>
      </c>
      <c r="F34" s="12" t="s">
        <v>1448</v>
      </c>
      <c r="G34" s="12" t="s">
        <v>1344</v>
      </c>
      <c r="H34" s="41" t="s">
        <v>1345</v>
      </c>
      <c r="I34" s="12" t="s">
        <v>1346</v>
      </c>
      <c r="J34" s="42" t="s">
        <v>1230</v>
      </c>
      <c r="K34" s="43" t="n">
        <v>1</v>
      </c>
      <c r="L34" s="44" t="n">
        <v>3.2</v>
      </c>
      <c r="M34" s="44" t="n">
        <f aca="false">K34*L34</f>
        <v>3.2</v>
      </c>
      <c r="N34" s="12" t="s">
        <v>1231</v>
      </c>
      <c r="O34" s="12"/>
    </row>
    <row r="35" customFormat="false" ht="23.85" hidden="false" customHeight="false" outlineLevel="0" collapsed="false">
      <c r="A35" s="12" t="s">
        <v>1449</v>
      </c>
      <c r="B35" s="12" t="s">
        <v>1450</v>
      </c>
      <c r="C35" s="12" t="s">
        <v>1451</v>
      </c>
      <c r="D35" s="12" t="s">
        <v>1284</v>
      </c>
      <c r="E35" s="12" t="s">
        <v>1285</v>
      </c>
      <c r="F35" s="12" t="s">
        <v>1452</v>
      </c>
      <c r="G35" s="12" t="s">
        <v>1453</v>
      </c>
      <c r="H35" s="41" t="s">
        <v>1288</v>
      </c>
      <c r="I35" s="12" t="s">
        <v>1289</v>
      </c>
      <c r="J35" s="42" t="s">
        <v>1230</v>
      </c>
      <c r="K35" s="43" t="n">
        <v>1</v>
      </c>
      <c r="L35" s="44" t="n">
        <v>3.6</v>
      </c>
      <c r="M35" s="44" t="n">
        <f aca="false">K35*L35</f>
        <v>3.6</v>
      </c>
      <c r="N35" s="12" t="s">
        <v>1231</v>
      </c>
      <c r="O35" s="12"/>
    </row>
    <row r="36" customFormat="false" ht="23.85" hidden="false" customHeight="false" outlineLevel="0" collapsed="false">
      <c r="A36" s="12" t="s">
        <v>1454</v>
      </c>
      <c r="B36" s="12" t="s">
        <v>1450</v>
      </c>
      <c r="C36" s="12" t="s">
        <v>1455</v>
      </c>
      <c r="D36" s="12" t="s">
        <v>1456</v>
      </c>
      <c r="E36" s="12" t="s">
        <v>1457</v>
      </c>
      <c r="F36" s="12" t="s">
        <v>1458</v>
      </c>
      <c r="G36" s="12" t="s">
        <v>1459</v>
      </c>
      <c r="H36" s="41" t="s">
        <v>1460</v>
      </c>
      <c r="I36" s="12" t="s">
        <v>1461</v>
      </c>
      <c r="J36" s="45" t="s">
        <v>1240</v>
      </c>
      <c r="K36" s="43" t="n">
        <v>1</v>
      </c>
      <c r="L36" s="44" t="n">
        <v>3.2</v>
      </c>
      <c r="M36" s="44" t="n">
        <f aca="false">K36*L36</f>
        <v>3.2</v>
      </c>
      <c r="N36" s="12" t="s">
        <v>1231</v>
      </c>
      <c r="O36" s="12" t="s">
        <v>1462</v>
      </c>
    </row>
    <row r="37" customFormat="false" ht="35.05" hidden="false" customHeight="false" outlineLevel="0" collapsed="false">
      <c r="A37" s="12" t="s">
        <v>1463</v>
      </c>
      <c r="B37" s="12" t="s">
        <v>1450</v>
      </c>
      <c r="C37" s="12" t="s">
        <v>1464</v>
      </c>
      <c r="D37" s="12" t="s">
        <v>1465</v>
      </c>
      <c r="E37" s="12" t="s">
        <v>1466</v>
      </c>
      <c r="F37" s="12" t="s">
        <v>1467</v>
      </c>
      <c r="G37" s="12" t="s">
        <v>829</v>
      </c>
      <c r="H37" s="41" t="s">
        <v>1468</v>
      </c>
      <c r="I37" s="12" t="s">
        <v>1469</v>
      </c>
      <c r="J37" s="45" t="s">
        <v>1240</v>
      </c>
      <c r="K37" s="43" t="n">
        <v>1</v>
      </c>
      <c r="L37" s="44" t="n">
        <v>4.5</v>
      </c>
      <c r="M37" s="44" t="n">
        <f aca="false">K37*L37</f>
        <v>4.5</v>
      </c>
      <c r="N37" s="12" t="s">
        <v>1231</v>
      </c>
      <c r="O37" s="12" t="s">
        <v>1470</v>
      </c>
    </row>
    <row r="38" customFormat="false" ht="23.85" hidden="false" customHeight="false" outlineLevel="0" collapsed="false">
      <c r="A38" s="12" t="s">
        <v>1471</v>
      </c>
      <c r="B38" s="12" t="s">
        <v>1450</v>
      </c>
      <c r="C38" s="12" t="s">
        <v>1472</v>
      </c>
      <c r="D38" s="12" t="s">
        <v>1473</v>
      </c>
      <c r="E38" s="12" t="s">
        <v>1474</v>
      </c>
      <c r="F38" s="12" t="s">
        <v>1475</v>
      </c>
      <c r="G38" s="12" t="s">
        <v>822</v>
      </c>
      <c r="H38" s="41" t="s">
        <v>1476</v>
      </c>
      <c r="I38" s="12" t="s">
        <v>1477</v>
      </c>
      <c r="J38" s="42" t="s">
        <v>1230</v>
      </c>
      <c r="K38" s="43" t="n">
        <v>1</v>
      </c>
      <c r="L38" s="44" t="n">
        <v>2.5</v>
      </c>
      <c r="M38" s="44" t="n">
        <f aca="false">K38*L38</f>
        <v>2.5</v>
      </c>
      <c r="N38" s="12" t="s">
        <v>1231</v>
      </c>
      <c r="O38" s="12" t="s">
        <v>1478</v>
      </c>
    </row>
    <row r="39" customFormat="false" ht="23.85" hidden="false" customHeight="false" outlineLevel="0" collapsed="false">
      <c r="A39" s="12" t="s">
        <v>1479</v>
      </c>
      <c r="B39" s="12" t="s">
        <v>1450</v>
      </c>
      <c r="C39" s="12" t="s">
        <v>1480</v>
      </c>
      <c r="D39" s="12" t="s">
        <v>1481</v>
      </c>
      <c r="E39" s="12" t="s">
        <v>1482</v>
      </c>
      <c r="F39" s="12" t="s">
        <v>1483</v>
      </c>
      <c r="G39" s="12" t="s">
        <v>1484</v>
      </c>
      <c r="H39" s="41" t="s">
        <v>1485</v>
      </c>
      <c r="I39" s="12" t="s">
        <v>1486</v>
      </c>
      <c r="J39" s="42" t="s">
        <v>1230</v>
      </c>
      <c r="K39" s="43" t="n">
        <v>1</v>
      </c>
      <c r="L39" s="44" t="n">
        <v>9.95</v>
      </c>
      <c r="M39" s="44" t="n">
        <f aca="false">K39*L39</f>
        <v>9.95</v>
      </c>
      <c r="N39" s="12" t="s">
        <v>1231</v>
      </c>
      <c r="O39" s="12" t="s">
        <v>1487</v>
      </c>
    </row>
    <row r="40" customFormat="false" ht="35.05" hidden="false" customHeight="false" outlineLevel="0" collapsed="false">
      <c r="A40" s="12" t="s">
        <v>1488</v>
      </c>
      <c r="B40" s="12" t="s">
        <v>1450</v>
      </c>
      <c r="C40" s="12" t="s">
        <v>1489</v>
      </c>
      <c r="D40" s="12" t="s">
        <v>1490</v>
      </c>
      <c r="E40" s="12" t="s">
        <v>1491</v>
      </c>
      <c r="F40" s="12" t="s">
        <v>1492</v>
      </c>
      <c r="G40" s="12" t="s">
        <v>1493</v>
      </c>
      <c r="H40" s="41" t="s">
        <v>1494</v>
      </c>
      <c r="I40" s="12" t="s">
        <v>1495</v>
      </c>
      <c r="J40" s="45" t="s">
        <v>1240</v>
      </c>
      <c r="K40" s="43" t="n">
        <v>1</v>
      </c>
      <c r="L40" s="46" t="s">
        <v>1496</v>
      </c>
      <c r="M40" s="43" t="s">
        <v>1497</v>
      </c>
      <c r="N40" s="12" t="s">
        <v>1498</v>
      </c>
      <c r="O40" s="12" t="s">
        <v>1499</v>
      </c>
    </row>
    <row r="41" customFormat="false" ht="15" hidden="false" customHeight="false" outlineLevel="0" collapsed="false">
      <c r="A41" s="12" t="s">
        <v>1500</v>
      </c>
      <c r="B41" s="12" t="s">
        <v>1450</v>
      </c>
      <c r="C41" s="12" t="s">
        <v>1292</v>
      </c>
      <c r="D41" s="12" t="s">
        <v>1224</v>
      </c>
      <c r="E41" s="12" t="s">
        <v>1293</v>
      </c>
      <c r="F41" s="12" t="s">
        <v>1430</v>
      </c>
      <c r="G41" s="12" t="s">
        <v>1033</v>
      </c>
      <c r="H41" s="41" t="s">
        <v>1296</v>
      </c>
      <c r="I41" s="12" t="s">
        <v>1297</v>
      </c>
      <c r="J41" s="42" t="s">
        <v>1230</v>
      </c>
      <c r="K41" s="43" t="n">
        <v>1</v>
      </c>
      <c r="L41" s="44" t="n">
        <v>1.55</v>
      </c>
      <c r="M41" s="44" t="n">
        <f aca="false">K41*L41</f>
        <v>1.55</v>
      </c>
      <c r="N41" s="12" t="s">
        <v>1231</v>
      </c>
      <c r="O41" s="12"/>
    </row>
    <row r="42" customFormat="false" ht="23.85" hidden="false" customHeight="false" outlineLevel="0" collapsed="false">
      <c r="A42" s="12" t="s">
        <v>1501</v>
      </c>
      <c r="B42" s="12" t="s">
        <v>1450</v>
      </c>
      <c r="C42" s="12" t="s">
        <v>1502</v>
      </c>
      <c r="D42" s="12" t="s">
        <v>1433</v>
      </c>
      <c r="E42" s="12" t="s">
        <v>1503</v>
      </c>
      <c r="F42" s="12" t="s">
        <v>1504</v>
      </c>
      <c r="G42" s="12" t="s">
        <v>1505</v>
      </c>
      <c r="H42" s="41" t="s">
        <v>1437</v>
      </c>
      <c r="I42" s="12" t="s">
        <v>1506</v>
      </c>
      <c r="J42" s="42" t="s">
        <v>1230</v>
      </c>
      <c r="K42" s="43" t="n">
        <v>2</v>
      </c>
      <c r="L42" s="44" t="n">
        <v>1.2</v>
      </c>
      <c r="M42" s="44" t="n">
        <f aca="false">K42*L42</f>
        <v>2.4</v>
      </c>
      <c r="N42" s="12" t="s">
        <v>1231</v>
      </c>
      <c r="O42" s="12" t="s">
        <v>1507</v>
      </c>
    </row>
    <row r="43" customFormat="false" ht="15" hidden="false" customHeight="false" outlineLevel="0" collapsed="false">
      <c r="A43" s="12" t="s">
        <v>1508</v>
      </c>
      <c r="B43" s="12" t="s">
        <v>1450</v>
      </c>
      <c r="C43" s="12" t="s">
        <v>1447</v>
      </c>
      <c r="D43" s="12" t="s">
        <v>1341</v>
      </c>
      <c r="E43" s="12" t="s">
        <v>1342</v>
      </c>
      <c r="F43" s="12" t="s">
        <v>1448</v>
      </c>
      <c r="G43" s="12" t="s">
        <v>1344</v>
      </c>
      <c r="H43" s="41" t="s">
        <v>1345</v>
      </c>
      <c r="I43" s="12" t="s">
        <v>1346</v>
      </c>
      <c r="J43" s="42" t="s">
        <v>1230</v>
      </c>
      <c r="K43" s="43" t="n">
        <v>1</v>
      </c>
      <c r="L43" s="44" t="n">
        <v>3.2</v>
      </c>
      <c r="M43" s="44" t="n">
        <f aca="false">K43*L43</f>
        <v>3.2</v>
      </c>
      <c r="N43" s="12" t="s">
        <v>1231</v>
      </c>
      <c r="O43" s="12"/>
    </row>
    <row r="44" customFormat="false" ht="35.05" hidden="false" customHeight="false" outlineLevel="0" collapsed="false">
      <c r="A44" s="12" t="s">
        <v>1509</v>
      </c>
      <c r="B44" s="12" t="s">
        <v>1510</v>
      </c>
      <c r="C44" s="12" t="s">
        <v>1511</v>
      </c>
      <c r="D44" s="12" t="s">
        <v>1512</v>
      </c>
      <c r="E44" s="12" t="s">
        <v>1513</v>
      </c>
      <c r="F44" s="12" t="s">
        <v>1514</v>
      </c>
      <c r="G44" s="12" t="s">
        <v>1515</v>
      </c>
      <c r="H44" s="41" t="s">
        <v>1516</v>
      </c>
      <c r="I44" s="12" t="s">
        <v>1517</v>
      </c>
      <c r="J44" s="45" t="s">
        <v>1240</v>
      </c>
      <c r="K44" s="43" t="n">
        <v>1</v>
      </c>
      <c r="L44" s="44" t="n">
        <v>35</v>
      </c>
      <c r="M44" s="44" t="n">
        <f aca="false">K44*L44</f>
        <v>35</v>
      </c>
      <c r="N44" s="12" t="s">
        <v>1231</v>
      </c>
      <c r="O44" s="12" t="s">
        <v>1518</v>
      </c>
    </row>
    <row r="45" customFormat="false" ht="23.85" hidden="false" customHeight="false" outlineLevel="0" collapsed="false">
      <c r="A45" s="12" t="s">
        <v>1519</v>
      </c>
      <c r="B45" s="12" t="s">
        <v>1510</v>
      </c>
      <c r="C45" s="12" t="s">
        <v>1520</v>
      </c>
      <c r="D45" s="12" t="s">
        <v>1521</v>
      </c>
      <c r="E45" s="12" t="s">
        <v>1522</v>
      </c>
      <c r="F45" s="12" t="s">
        <v>1523</v>
      </c>
      <c r="G45" s="12" t="s">
        <v>1524</v>
      </c>
      <c r="H45" s="12" t="s">
        <v>1525</v>
      </c>
      <c r="I45" s="12" t="s">
        <v>1526</v>
      </c>
      <c r="J45" s="42" t="s">
        <v>1230</v>
      </c>
      <c r="K45" s="43" t="n">
        <v>1</v>
      </c>
      <c r="L45" s="46" t="s">
        <v>1496</v>
      </c>
      <c r="M45" s="43" t="s">
        <v>1497</v>
      </c>
      <c r="N45" s="12" t="s">
        <v>1496</v>
      </c>
      <c r="O45" s="12" t="s">
        <v>1527</v>
      </c>
    </row>
    <row r="46" customFormat="false" ht="23.85" hidden="false" customHeight="false" outlineLevel="0" collapsed="false">
      <c r="A46" s="12" t="s">
        <v>1528</v>
      </c>
      <c r="B46" s="12" t="s">
        <v>1510</v>
      </c>
      <c r="C46" s="12" t="s">
        <v>1529</v>
      </c>
      <c r="D46" s="12" t="s">
        <v>1530</v>
      </c>
      <c r="E46" s="12" t="s">
        <v>1496</v>
      </c>
      <c r="F46" s="12" t="s">
        <v>1531</v>
      </c>
      <c r="G46" s="12" t="s">
        <v>1532</v>
      </c>
      <c r="H46" s="12" t="s">
        <v>1525</v>
      </c>
      <c r="I46" s="12" t="s">
        <v>1533</v>
      </c>
      <c r="J46" s="42" t="s">
        <v>1230</v>
      </c>
      <c r="K46" s="43" t="n">
        <v>1</v>
      </c>
      <c r="L46" s="46" t="s">
        <v>1496</v>
      </c>
      <c r="M46" s="43" t="s">
        <v>1497</v>
      </c>
      <c r="N46" s="12" t="s">
        <v>1496</v>
      </c>
      <c r="O46" s="12" t="s">
        <v>1534</v>
      </c>
    </row>
    <row r="47" customFormat="false" ht="23.85" hidden="false" customHeight="false" outlineLevel="0" collapsed="false">
      <c r="A47" s="12" t="s">
        <v>1535</v>
      </c>
      <c r="B47" s="12" t="s">
        <v>1510</v>
      </c>
      <c r="C47" s="12" t="s">
        <v>1536</v>
      </c>
      <c r="D47" s="12" t="s">
        <v>1224</v>
      </c>
      <c r="E47" s="12" t="s">
        <v>1537</v>
      </c>
      <c r="F47" s="12" t="s">
        <v>1538</v>
      </c>
      <c r="G47" s="12" t="s">
        <v>1539</v>
      </c>
      <c r="H47" s="41" t="s">
        <v>1540</v>
      </c>
      <c r="I47" s="12" t="s">
        <v>1541</v>
      </c>
      <c r="J47" s="42" t="s">
        <v>1230</v>
      </c>
      <c r="K47" s="43" t="n">
        <v>2</v>
      </c>
      <c r="L47" s="44" t="n">
        <v>0.9</v>
      </c>
      <c r="M47" s="44" t="n">
        <f aca="false">K47*L47</f>
        <v>1.8</v>
      </c>
      <c r="N47" s="12" t="s">
        <v>1231</v>
      </c>
      <c r="O47" s="12" t="s">
        <v>1542</v>
      </c>
    </row>
    <row r="48" customFormat="false" ht="23.85" hidden="false" customHeight="false" outlineLevel="0" collapsed="false">
      <c r="A48" s="12" t="s">
        <v>1543</v>
      </c>
      <c r="B48" s="12" t="s">
        <v>1510</v>
      </c>
      <c r="C48" s="12" t="s">
        <v>1544</v>
      </c>
      <c r="D48" s="12" t="s">
        <v>1545</v>
      </c>
      <c r="E48" s="12" t="s">
        <v>1546</v>
      </c>
      <c r="F48" s="12" t="s">
        <v>1547</v>
      </c>
      <c r="G48" s="12" t="s">
        <v>783</v>
      </c>
      <c r="H48" s="41" t="s">
        <v>1548</v>
      </c>
      <c r="I48" s="12" t="s">
        <v>1549</v>
      </c>
      <c r="J48" s="42" t="s">
        <v>1230</v>
      </c>
      <c r="K48" s="43" t="n">
        <v>1</v>
      </c>
      <c r="L48" s="44" t="n">
        <v>2.5</v>
      </c>
      <c r="M48" s="44" t="n">
        <f aca="false">K48*L48</f>
        <v>2.5</v>
      </c>
      <c r="N48" s="12" t="s">
        <v>1231</v>
      </c>
      <c r="O48" s="12"/>
    </row>
    <row r="49" customFormat="false" ht="15" hidden="false" customHeight="false" outlineLevel="0" collapsed="false">
      <c r="A49" s="12" t="s">
        <v>1550</v>
      </c>
      <c r="B49" s="12" t="s">
        <v>1510</v>
      </c>
      <c r="C49" s="12" t="s">
        <v>1551</v>
      </c>
      <c r="D49" s="12" t="s">
        <v>1433</v>
      </c>
      <c r="E49" s="12" t="s">
        <v>1434</v>
      </c>
      <c r="F49" s="12" t="s">
        <v>1552</v>
      </c>
      <c r="G49" s="12" t="s">
        <v>1436</v>
      </c>
      <c r="H49" s="41" t="s">
        <v>1437</v>
      </c>
      <c r="I49" s="12" t="s">
        <v>1438</v>
      </c>
      <c r="J49" s="42" t="s">
        <v>1230</v>
      </c>
      <c r="K49" s="43" t="n">
        <v>1</v>
      </c>
      <c r="L49" s="44" t="n">
        <v>1.1</v>
      </c>
      <c r="M49" s="44" t="n">
        <f aca="false">K49*L49</f>
        <v>1.1</v>
      </c>
      <c r="N49" s="12" t="s">
        <v>1231</v>
      </c>
      <c r="O49" s="12"/>
    </row>
    <row r="50" customFormat="false" ht="35.05" hidden="false" customHeight="false" outlineLevel="0" collapsed="false">
      <c r="A50" s="12" t="s">
        <v>1553</v>
      </c>
      <c r="B50" s="12" t="s">
        <v>1554</v>
      </c>
      <c r="C50" s="12" t="s">
        <v>1555</v>
      </c>
      <c r="D50" s="12" t="s">
        <v>1556</v>
      </c>
      <c r="E50" s="12" t="s">
        <v>1557</v>
      </c>
      <c r="F50" s="12" t="s">
        <v>1558</v>
      </c>
      <c r="G50" s="12" t="s">
        <v>1559</v>
      </c>
      <c r="H50" s="41" t="s">
        <v>1560</v>
      </c>
      <c r="I50" s="12" t="s">
        <v>1561</v>
      </c>
      <c r="J50" s="45" t="s">
        <v>1240</v>
      </c>
      <c r="K50" s="43" t="n">
        <v>10</v>
      </c>
      <c r="L50" s="44" t="n">
        <v>200</v>
      </c>
      <c r="M50" s="44" t="n">
        <f aca="false">K50*L50</f>
        <v>2000</v>
      </c>
      <c r="N50" s="12" t="s">
        <v>1562</v>
      </c>
      <c r="O50" s="12" t="s">
        <v>1563</v>
      </c>
    </row>
    <row r="51" customFormat="false" ht="35.05" hidden="false" customHeight="false" outlineLevel="0" collapsed="false">
      <c r="A51" s="12" t="s">
        <v>1564</v>
      </c>
      <c r="B51" s="12" t="s">
        <v>1554</v>
      </c>
      <c r="C51" s="12" t="s">
        <v>1565</v>
      </c>
      <c r="D51" s="12" t="s">
        <v>1566</v>
      </c>
      <c r="E51" s="12" t="s">
        <v>1567</v>
      </c>
      <c r="F51" s="12" t="s">
        <v>1568</v>
      </c>
      <c r="G51" s="12" t="s">
        <v>1569</v>
      </c>
      <c r="H51" s="41" t="s">
        <v>1570</v>
      </c>
      <c r="I51" s="12" t="s">
        <v>1571</v>
      </c>
      <c r="J51" s="42" t="s">
        <v>1230</v>
      </c>
      <c r="K51" s="43" t="n">
        <v>2</v>
      </c>
      <c r="L51" s="44" t="n">
        <v>6.5</v>
      </c>
      <c r="M51" s="44" t="n">
        <f aca="false">K51*L51</f>
        <v>13</v>
      </c>
      <c r="N51" s="12" t="s">
        <v>1572</v>
      </c>
      <c r="O51" s="12" t="s">
        <v>1573</v>
      </c>
    </row>
    <row r="52" customFormat="false" ht="35.05" hidden="false" customHeight="false" outlineLevel="0" collapsed="false">
      <c r="A52" s="12" t="s">
        <v>1574</v>
      </c>
      <c r="B52" s="12" t="s">
        <v>1554</v>
      </c>
      <c r="C52" s="12" t="s">
        <v>1575</v>
      </c>
      <c r="D52" s="12" t="s">
        <v>1244</v>
      </c>
      <c r="E52" s="12" t="s">
        <v>1576</v>
      </c>
      <c r="F52" s="12" t="s">
        <v>1577</v>
      </c>
      <c r="G52" s="12" t="s">
        <v>1578</v>
      </c>
      <c r="H52" s="41" t="s">
        <v>1247</v>
      </c>
      <c r="I52" s="12" t="s">
        <v>1579</v>
      </c>
      <c r="J52" s="42" t="s">
        <v>1230</v>
      </c>
      <c r="K52" s="43" t="n">
        <v>6</v>
      </c>
      <c r="L52" s="44" t="n">
        <v>0.55</v>
      </c>
      <c r="M52" s="44" t="n">
        <f aca="false">K52*L52</f>
        <v>3.3</v>
      </c>
      <c r="N52" s="12" t="s">
        <v>1231</v>
      </c>
      <c r="O52" s="12" t="s">
        <v>1580</v>
      </c>
    </row>
    <row r="53" customFormat="false" ht="35.05" hidden="false" customHeight="false" outlineLevel="0" collapsed="false">
      <c r="A53" s="12" t="s">
        <v>1581</v>
      </c>
      <c r="B53" s="12" t="s">
        <v>1554</v>
      </c>
      <c r="C53" s="12" t="s">
        <v>1582</v>
      </c>
      <c r="D53" s="12" t="s">
        <v>1583</v>
      </c>
      <c r="E53" s="12" t="s">
        <v>1584</v>
      </c>
      <c r="F53" s="12" t="s">
        <v>1585</v>
      </c>
      <c r="G53" s="12" t="s">
        <v>1586</v>
      </c>
      <c r="H53" s="41" t="s">
        <v>1587</v>
      </c>
      <c r="I53" s="12" t="s">
        <v>1588</v>
      </c>
      <c r="J53" s="45" t="s">
        <v>1240</v>
      </c>
      <c r="K53" s="43" t="n">
        <v>3</v>
      </c>
      <c r="L53" s="44" t="n">
        <v>5170</v>
      </c>
      <c r="M53" s="44" t="n">
        <f aca="false">K53*L53</f>
        <v>15510</v>
      </c>
      <c r="N53" s="12" t="s">
        <v>1589</v>
      </c>
      <c r="O53" s="12" t="s">
        <v>1590</v>
      </c>
    </row>
    <row r="54" customFormat="false" ht="35.05" hidden="false" customHeight="false" outlineLevel="0" collapsed="false">
      <c r="A54" s="12" t="s">
        <v>1591</v>
      </c>
      <c r="B54" s="12" t="s">
        <v>1554</v>
      </c>
      <c r="C54" s="12" t="s">
        <v>1592</v>
      </c>
      <c r="D54" s="12" t="s">
        <v>1593</v>
      </c>
      <c r="E54" s="12" t="s">
        <v>1594</v>
      </c>
      <c r="F54" s="12" t="s">
        <v>1595</v>
      </c>
      <c r="G54" s="12" t="s">
        <v>1596</v>
      </c>
      <c r="H54" s="12" t="s">
        <v>1525</v>
      </c>
      <c r="I54" s="12" t="s">
        <v>1597</v>
      </c>
      <c r="J54" s="42" t="s">
        <v>1230</v>
      </c>
      <c r="K54" s="43" t="n">
        <v>3</v>
      </c>
      <c r="L54" s="44" t="n">
        <v>1000</v>
      </c>
      <c r="M54" s="44" t="n">
        <f aca="false">K54*L54</f>
        <v>3000</v>
      </c>
      <c r="N54" s="12" t="s">
        <v>1598</v>
      </c>
      <c r="O54" s="12" t="s">
        <v>1599</v>
      </c>
    </row>
    <row r="55" customFormat="false" ht="35.05" hidden="false" customHeight="false" outlineLevel="0" collapsed="false">
      <c r="A55" s="12" t="s">
        <v>1600</v>
      </c>
      <c r="B55" s="12" t="s">
        <v>1554</v>
      </c>
      <c r="C55" s="12" t="s">
        <v>1601</v>
      </c>
      <c r="D55" s="12" t="s">
        <v>1490</v>
      </c>
      <c r="E55" s="12" t="s">
        <v>1602</v>
      </c>
      <c r="F55" s="12" t="s">
        <v>1603</v>
      </c>
      <c r="G55" s="12" t="s">
        <v>1604</v>
      </c>
      <c r="H55" s="41" t="s">
        <v>1494</v>
      </c>
      <c r="I55" s="12" t="s">
        <v>1605</v>
      </c>
      <c r="J55" s="42" t="s">
        <v>1230</v>
      </c>
      <c r="K55" s="43" t="n">
        <v>1</v>
      </c>
      <c r="L55" s="44" t="n">
        <v>400</v>
      </c>
      <c r="M55" s="44" t="n">
        <f aca="false">K55*L55</f>
        <v>400</v>
      </c>
      <c r="N55" s="12" t="s">
        <v>1606</v>
      </c>
      <c r="O55" s="12" t="s">
        <v>1607</v>
      </c>
    </row>
    <row r="56" customFormat="false" ht="35.05" hidden="false" customHeight="false" outlineLevel="0" collapsed="false">
      <c r="A56" s="12" t="s">
        <v>1608</v>
      </c>
      <c r="B56" s="12" t="s">
        <v>1554</v>
      </c>
      <c r="C56" s="12" t="s">
        <v>1609</v>
      </c>
      <c r="D56" s="12" t="s">
        <v>1610</v>
      </c>
      <c r="E56" s="12" t="s">
        <v>58</v>
      </c>
      <c r="F56" s="12" t="s">
        <v>1611</v>
      </c>
      <c r="G56" s="12" t="s">
        <v>1612</v>
      </c>
      <c r="H56" s="12" t="s">
        <v>1525</v>
      </c>
      <c r="I56" s="12" t="s">
        <v>1613</v>
      </c>
      <c r="J56" s="42" t="s">
        <v>1230</v>
      </c>
      <c r="K56" s="43" t="n">
        <v>1</v>
      </c>
      <c r="L56" s="44" t="n">
        <v>50</v>
      </c>
      <c r="M56" s="44" t="n">
        <f aca="false">K56*L56</f>
        <v>50</v>
      </c>
      <c r="N56" s="12" t="s">
        <v>1614</v>
      </c>
      <c r="O56" s="12" t="s">
        <v>1615</v>
      </c>
    </row>
    <row r="57" customFormat="false" ht="35.05" hidden="false" customHeight="false" outlineLevel="0" collapsed="false">
      <c r="A57" s="12" t="s">
        <v>1616</v>
      </c>
      <c r="B57" s="12" t="s">
        <v>1554</v>
      </c>
      <c r="C57" s="12" t="s">
        <v>1617</v>
      </c>
      <c r="D57" s="12" t="s">
        <v>1618</v>
      </c>
      <c r="E57" s="12" t="s">
        <v>1496</v>
      </c>
      <c r="F57" s="12" t="s">
        <v>1619</v>
      </c>
      <c r="G57" s="12" t="s">
        <v>929</v>
      </c>
      <c r="H57" s="12" t="s">
        <v>1525</v>
      </c>
      <c r="I57" s="12" t="s">
        <v>1620</v>
      </c>
      <c r="J57" s="42" t="s">
        <v>1230</v>
      </c>
      <c r="K57" s="43" t="n">
        <v>1</v>
      </c>
      <c r="L57" s="44" t="n">
        <v>4000</v>
      </c>
      <c r="M57" s="44" t="n">
        <f aca="false">K57*L57</f>
        <v>4000</v>
      </c>
      <c r="N57" s="12" t="s">
        <v>1621</v>
      </c>
      <c r="O57" s="12" t="s">
        <v>1622</v>
      </c>
    </row>
    <row r="59" customFormat="false" ht="15" hidden="false" customHeight="false" outlineLevel="0" collapsed="false">
      <c r="A59" s="47" t="s">
        <v>1623</v>
      </c>
    </row>
    <row r="60" customFormat="false" ht="15" hidden="false" customHeight="false" outlineLevel="0" collapsed="false">
      <c r="A60" s="48" t="s">
        <v>1624</v>
      </c>
      <c r="D60" s="48" t="n">
        <f aca="false">COUNTA(A5:A57)</f>
        <v>53</v>
      </c>
    </row>
    <row r="61" customFormat="false" ht="15" hidden="false" customHeight="false" outlineLevel="0" collapsed="false">
      <c r="A61" s="48" t="s">
        <v>1625</v>
      </c>
      <c r="D61" s="48" t="n">
        <f aca="false">COUNTIF(J5:J57,"Verificada")</f>
        <v>8</v>
      </c>
    </row>
    <row r="62" customFormat="false" ht="15" hidden="false" customHeight="false" outlineLevel="0" collapsed="false">
      <c r="A62" s="48" t="s">
        <v>1230</v>
      </c>
      <c r="D62" s="48" t="n">
        <f aca="false">COUNTIF(J5:J57,"Por verificar")</f>
        <v>45</v>
      </c>
    </row>
    <row r="63" customFormat="false" ht="15" hidden="false" customHeight="false" outlineLevel="0" collapsed="false">
      <c r="A63" s="48" t="s">
        <v>1626</v>
      </c>
      <c r="D63" s="48" t="n">
        <f aca="false">COUNTIF(L5:L57,"Por cotizar")</f>
        <v>3</v>
      </c>
    </row>
    <row r="64" customFormat="false" ht="15" hidden="false" customHeight="false" outlineLevel="0" collapsed="false">
      <c r="A64" s="48" t="s">
        <v>1627</v>
      </c>
      <c r="D64" s="49" t="n">
        <f aca="false">SUM(M5:M57)</f>
        <v>25247.28</v>
      </c>
    </row>
    <row r="66" customFormat="false" ht="418.65" hidden="false" customHeight="false" outlineLevel="0" collapsed="false">
      <c r="A66" s="50" t="s">
        <v>1628</v>
      </c>
    </row>
  </sheetData>
  <autoFilter ref="A4:O57"/>
  <hyperlinks>
    <hyperlink ref="H5" r:id="rId1" display="https://www.ti.com/product/BQ77307"/>
    <hyperlink ref="H6" r:id="rId2" display="https://www.ti.com/lit/gpn/bq25798"/>
    <hyperlink ref="H7" r:id="rId3" display="https://www.vishay.com/"/>
    <hyperlink ref="H8" r:id="rId4" display="https://www.ti.com/lit/gpn/ina226"/>
    <hyperlink ref="H9" r:id="rId5" display="https://www.vishay.com/"/>
    <hyperlink ref="H10" r:id="rId6" display="https://www.ti.com/lit/gpn/tps62933"/>
    <hyperlink ref="H11" r:id="rId7" display="https://www.ti.com/lit/gpn/tps62933"/>
    <hyperlink ref="H12" r:id="rId8" display="https://www.ti.com/lit/gpn/tps25947"/>
    <hyperlink ref="H13" r:id="rId9" display="https://www.st.com/resource/en/datasheet/stm32g0b1cb.pdf"/>
    <hyperlink ref="H14" r:id="rId10" display="https://www.ti.com/lit/gpn/sn65hvd230"/>
    <hyperlink ref="H15" r:id="rId11" display="https://www.ti.com/lit/gpn/tpl5110"/>
    <hyperlink ref="H16" r:id="rId12" display="https://www.infineon.com/"/>
    <hyperlink ref="H17" r:id="rId13" display="https://www.vishay.com/"/>
    <hyperlink ref="H18" r:id="rId14" display="https://www.murata.com/"/>
    <hyperlink ref="H19" r:id="rId15" display="https://components.omron.com/"/>
    <hyperlink ref="H20" r:id="rId16" display="https://www.samtec.com/products/esq"/>
    <hyperlink ref="H21" r:id="rId17" display="https://www.st.com/resource/en/datasheet/stm32h743ii.pdf"/>
    <hyperlink ref="H22" r:id="rId18" display="https://www.issi.com/WW/pdf/42-45S16160J.pdf"/>
    <hyperlink ref="H23" r:id="rId19" display="https://www.micron.com/"/>
    <hyperlink ref="H24" r:id="rId20" display="https://www.winbond.com/"/>
    <hyperlink ref="H25" r:id="rId21" display="https://www.infineon.com/"/>
    <hyperlink ref="H26" r:id="rId22" display="https://www.analog.com/en/products/ds3231.html"/>
    <hyperlink ref="H27" r:id="rId23" display="https://www.ti.com/lit/gpn/tps3431"/>
    <hyperlink ref="H28" r:id="rId24" display="https://www.bosch-sensortec.com/products/motion-sensors/imus/bmi088/"/>
    <hyperlink ref="H29" r:id="rId25" display="https://www.pnicorp.com/rm3100/"/>
    <hyperlink ref="H30" r:id="rId26" display="https://www.ti.com/lit/gpn/drv8837"/>
    <hyperlink ref="H31" r:id="rId27" display="https://www.ti.com/lit/gpn/sn65hvd230"/>
    <hyperlink ref="H32" r:id="rId28" display="https://www.hirose.com/"/>
    <hyperlink ref="H33" r:id="rId29" display="https://www.samtec.com/products/ftsh"/>
    <hyperlink ref="H34" r:id="rId30" display="https://www.samtec.com/products/esq"/>
    <hyperlink ref="H35" r:id="rId31" display="https://www.st.com/resource/en/datasheet/stm32g0b1cb.pdf"/>
    <hyperlink ref="H36" r:id="rId32" display="https://www.silabs.com/documents/public/data-sheets/Si4464-63-61-60.pdf"/>
    <hyperlink ref="H37" r:id="rId33" display="https://www.mouser.in/new/guerrilla-rf/guerrilla-rf-grf5504-power-amplifier"/>
    <hyperlink ref="H38" r:id="rId34" display="https://www.psemi.com/"/>
    <hyperlink ref="H39" r:id="rId35" display="https://www.minicircuits.com/"/>
    <hyperlink ref="H40" r:id="rId36" display="https://www.aac-clyde.space/wp-content/uploads/2021/10/Pulsar-STX-S-band.pdf"/>
    <hyperlink ref="H41" r:id="rId37" display="https://www.ti.com/lit/gpn/sn65hvd230"/>
    <hyperlink ref="H42" r:id="rId38" display="https://www.hirose.com/"/>
    <hyperlink ref="H43" r:id="rId39" display="https://www.samtec.com/products/esq"/>
    <hyperlink ref="H44" r:id="rId40" display="https://www.onsemi.com/products/sensors/image-sensors/mt9p031"/>
    <hyperlink ref="H47" r:id="rId41" display="https://www.ti.com/lit/gpn/tlv755p"/>
    <hyperlink ref="H48" r:id="rId42" display="https://www.sitime.com/"/>
    <hyperlink ref="H49" r:id="rId43" display="https://www.hirose.com/"/>
    <hyperlink ref="H50" r:id="rId44" display="https://www.azurspace.com/media/uploads/file_links/file/bdb_00010891-01-00_tj3g30-advanced_4x8.pdf"/>
    <hyperlink ref="H51" r:id="rId45" display="https://industrial.panasonic.com/"/>
    <hyperlink ref="H52" r:id="rId46" display="https://www.vishay.com/"/>
    <hyperlink ref="H53" r:id="rId47" display="https://www.cubesatshop.com/wp-content/uploads/2016/06/CubeWheel-Brochure-August-2016.pdf"/>
    <hyperlink ref="H55" r:id="rId48" display="https://www.aac-clyde.space/wp-content/uploads/2021/10/Pulsar-STX-S-band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56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38" t="s">
        <v>1629</v>
      </c>
    </row>
    <row r="2" customFormat="false" ht="15" hidden="false" customHeight="false" outlineLevel="0" collapsed="false">
      <c r="A2" s="39" t="s">
        <v>1630</v>
      </c>
    </row>
    <row r="4" customFormat="false" ht="15" hidden="false" customHeight="false" outlineLevel="0" collapsed="false">
      <c r="A4" s="40" t="s">
        <v>519</v>
      </c>
      <c r="B4" s="40" t="s">
        <v>1631</v>
      </c>
      <c r="C4" s="40" t="s">
        <v>1632</v>
      </c>
      <c r="D4" s="40" t="s">
        <v>1633</v>
      </c>
      <c r="E4" s="40" t="s">
        <v>1634</v>
      </c>
      <c r="F4" s="40" t="s">
        <v>1635</v>
      </c>
    </row>
    <row r="5" customFormat="false" ht="57.45" hidden="false" customHeight="false" outlineLevel="0" collapsed="false">
      <c r="A5" s="12" t="s">
        <v>1636</v>
      </c>
      <c r="B5" s="12" t="s">
        <v>1637</v>
      </c>
      <c r="C5" s="12" t="s">
        <v>1638</v>
      </c>
      <c r="D5" s="12" t="s">
        <v>1639</v>
      </c>
      <c r="E5" s="12" t="s">
        <v>1640</v>
      </c>
      <c r="F5" s="12" t="s">
        <v>1641</v>
      </c>
    </row>
    <row r="6" customFormat="false" ht="57.45" hidden="false" customHeight="false" outlineLevel="0" collapsed="false">
      <c r="A6" s="12" t="s">
        <v>1642</v>
      </c>
      <c r="B6" s="12" t="s">
        <v>1637</v>
      </c>
      <c r="C6" s="12" t="s">
        <v>1643</v>
      </c>
      <c r="D6" s="12" t="s">
        <v>1644</v>
      </c>
      <c r="E6" s="12" t="s">
        <v>1645</v>
      </c>
      <c r="F6" s="12" t="s">
        <v>1646</v>
      </c>
    </row>
    <row r="7" customFormat="false" ht="35.05" hidden="false" customHeight="false" outlineLevel="0" collapsed="false">
      <c r="A7" s="12" t="s">
        <v>1647</v>
      </c>
      <c r="B7" s="12" t="s">
        <v>1648</v>
      </c>
      <c r="C7" s="12" t="s">
        <v>1649</v>
      </c>
      <c r="D7" s="12" t="s">
        <v>1650</v>
      </c>
      <c r="E7" s="12" t="s">
        <v>1651</v>
      </c>
      <c r="F7" s="12" t="s">
        <v>1652</v>
      </c>
    </row>
    <row r="8" customFormat="false" ht="46.25" hidden="false" customHeight="false" outlineLevel="0" collapsed="false">
      <c r="A8" s="12" t="s">
        <v>1653</v>
      </c>
      <c r="B8" s="12" t="s">
        <v>1648</v>
      </c>
      <c r="C8" s="12" t="s">
        <v>1654</v>
      </c>
      <c r="D8" s="12" t="s">
        <v>1655</v>
      </c>
      <c r="E8" s="12" t="s">
        <v>1656</v>
      </c>
      <c r="F8" s="12" t="s">
        <v>1657</v>
      </c>
    </row>
    <row r="9" customFormat="false" ht="46.25" hidden="false" customHeight="false" outlineLevel="0" collapsed="false">
      <c r="A9" s="12" t="s">
        <v>1658</v>
      </c>
      <c r="B9" s="12" t="s">
        <v>1659</v>
      </c>
      <c r="C9" s="12" t="s">
        <v>1660</v>
      </c>
      <c r="D9" s="12" t="s">
        <v>1661</v>
      </c>
      <c r="E9" s="12" t="s">
        <v>1662</v>
      </c>
      <c r="F9" s="12" t="s">
        <v>1663</v>
      </c>
    </row>
    <row r="10" customFormat="false" ht="35.05" hidden="false" customHeight="false" outlineLevel="0" collapsed="false">
      <c r="A10" s="12" t="s">
        <v>1664</v>
      </c>
      <c r="B10" s="12" t="s">
        <v>1665</v>
      </c>
      <c r="C10" s="12" t="s">
        <v>1666</v>
      </c>
      <c r="D10" s="12" t="s">
        <v>1667</v>
      </c>
      <c r="E10" s="12" t="s">
        <v>1668</v>
      </c>
      <c r="F10" s="12" t="s">
        <v>1669</v>
      </c>
    </row>
    <row r="11" customFormat="false" ht="35.05" hidden="false" customHeight="false" outlineLevel="0" collapsed="false">
      <c r="A11" s="12" t="s">
        <v>1670</v>
      </c>
      <c r="B11" s="12" t="s">
        <v>1671</v>
      </c>
      <c r="C11" s="12" t="s">
        <v>1672</v>
      </c>
      <c r="D11" s="12" t="s">
        <v>1673</v>
      </c>
      <c r="E11" s="12" t="s">
        <v>1674</v>
      </c>
      <c r="F11" s="12" t="s">
        <v>855</v>
      </c>
    </row>
    <row r="12" customFormat="false" ht="23.85" hidden="false" customHeight="false" outlineLevel="0" collapsed="false">
      <c r="A12" s="12" t="s">
        <v>1675</v>
      </c>
      <c r="B12" s="12" t="s">
        <v>1676</v>
      </c>
      <c r="C12" s="12" t="s">
        <v>1677</v>
      </c>
      <c r="D12" s="12" t="s">
        <v>1678</v>
      </c>
      <c r="E12" s="12" t="s">
        <v>1679</v>
      </c>
      <c r="F12" s="12" t="s">
        <v>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2026-09-28T16:39:31Z</dcterms:created>
  <dc:creator>openpyxl</dc:creator>
  <dc:description/>
  <dc:language>en-US</dc:language>
  <cp:lastModifiedBy/>
  <dcterms:modified xsi:type="dcterms:W3CDTF">2026-09-29T01:32:24Z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